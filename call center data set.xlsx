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c587d92e989e14/Documents/"/>
    </mc:Choice>
  </mc:AlternateContent>
  <xr:revisionPtr revIDLastSave="3" documentId="8_{B3037F8A-8DFA-4270-BC12-9E022D436BF5}" xr6:coauthVersionLast="47" xr6:coauthVersionMax="47" xr10:uidLastSave="{9D9DD645-6D84-436F-96E0-7288BE8A40AF}"/>
  <bookViews>
    <workbookView xWindow="-120" yWindow="-120" windowWidth="20730" windowHeight="11040" activeTab="4" xr2:uid="{458A8F9B-2B4C-4227-97F1-6A5B6DD123FF}"/>
  </bookViews>
  <sheets>
    <sheet name="break " sheetId="1" r:id="rId1"/>
    <sheet name="efficiency " sheetId="2" r:id="rId2"/>
    <sheet name="overall performance " sheetId="3" r:id="rId3"/>
    <sheet name="summary " sheetId="4" r:id="rId4"/>
    <sheet name="dashboard " sheetId="5" r:id="rId5"/>
  </sheets>
  <definedNames>
    <definedName name="break">'break '!$A$1:$I$51</definedName>
    <definedName name="efficiency">'efficiency '!$A$1:$P$51</definedName>
    <definedName name="overall_performance">'overall performance '!$A$1:$J$51</definedName>
  </definedNames>
  <calcPr calcId="181029"/>
  <pivotCaches>
    <pivotCache cacheId="0" r:id="rId6"/>
    <pivotCache cacheId="4" r:id="rId7"/>
    <pivotCache cacheId="25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2" i="4"/>
  <c r="B21" i="4" l="1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12" i="4"/>
  <c r="B13" i="4"/>
  <c r="B14" i="4"/>
  <c r="B15" i="4"/>
  <c r="B16" i="4"/>
  <c r="B17" i="4"/>
  <c r="B18" i="4"/>
  <c r="B19" i="4"/>
  <c r="B20" i="4"/>
  <c r="B3" i="4"/>
  <c r="B4" i="4"/>
  <c r="B5" i="4"/>
  <c r="B6" i="4"/>
  <c r="B7" i="4"/>
  <c r="B8" i="4"/>
  <c r="B9" i="4"/>
  <c r="B10" i="4"/>
  <c r="B11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</calcChain>
</file>

<file path=xl/sharedStrings.xml><?xml version="1.0" encoding="utf-8"?>
<sst xmlns="http://schemas.openxmlformats.org/spreadsheetml/2006/main" count="228" uniqueCount="113">
  <si>
    <t>Employee (ID)</t>
  </si>
  <si>
    <t>Lunch</t>
  </si>
  <si>
    <t>Feedback</t>
  </si>
  <si>
    <t>Training</t>
  </si>
  <si>
    <t>Meeting</t>
  </si>
  <si>
    <t>Unwanted Break</t>
  </si>
  <si>
    <t>Other Work</t>
  </si>
  <si>
    <t>Total Break Taken</t>
  </si>
  <si>
    <t>Rahul Sharma (E001)</t>
  </si>
  <si>
    <t>Priya Singh (E002)</t>
  </si>
  <si>
    <t>Amit Kumar (E003)</t>
  </si>
  <si>
    <t>Neha Verma (E004)</t>
  </si>
  <si>
    <t>Rohit Gupta (E005)</t>
  </si>
  <si>
    <t>Anjali Mehta (E006)</t>
  </si>
  <si>
    <t>Sandeep Yadav (E007)</t>
  </si>
  <si>
    <t>Pooja Sharma (E008)</t>
  </si>
  <si>
    <t>Karan Singh (E009)</t>
  </si>
  <si>
    <t>Vikas Jain (E010)</t>
  </si>
  <si>
    <t>Sneha Gupta (E011)</t>
  </si>
  <si>
    <t>Arjun Verma (E012)</t>
  </si>
  <si>
    <t>Nisha Kapoor (E013)</t>
  </si>
  <si>
    <t>Manish Kumar (E014)</t>
  </si>
  <si>
    <t>Riya Sharma (E015)</t>
  </si>
  <si>
    <t>Akash Singh (E016)</t>
  </si>
  <si>
    <t>Simran Kaur (E017)</t>
  </si>
  <si>
    <t>Deepak Yadav (E018)</t>
  </si>
  <si>
    <t>Komal Verma (E019)</t>
  </si>
  <si>
    <t>Varun Gupta (E020)</t>
  </si>
  <si>
    <t>Mohit Sharma (E021)</t>
  </si>
  <si>
    <t>Kavita Singh (E022)</t>
  </si>
  <si>
    <t>Nitin Kumar (E023)</t>
  </si>
  <si>
    <t>Ayesha Khan (E024)</t>
  </si>
  <si>
    <t>Rakesh Gupta (E025)</t>
  </si>
  <si>
    <t>Shivani Verma (E026)</t>
  </si>
  <si>
    <t>Gaurav Mehta (E027)</t>
  </si>
  <si>
    <t>Divya Sharma (E028)</t>
  </si>
  <si>
    <t>Ankit Yadav (E029)</t>
  </si>
  <si>
    <t>Meena Kapoor (E030)</t>
  </si>
  <si>
    <t>Sahil Jain (E031)</t>
  </si>
  <si>
    <t>Preeti Gupta (E032)</t>
  </si>
  <si>
    <t>Rajesh Kumar (E033)</t>
  </si>
  <si>
    <t>Tanya Singh (E034)</t>
  </si>
  <si>
    <t>Harsh Verma (E035)</t>
  </si>
  <si>
    <t>Muskan Sharma (E036)</t>
  </si>
  <si>
    <t>Ravi Yadav (E037)</t>
  </si>
  <si>
    <t>Isha Gupta (E038)</t>
  </si>
  <si>
    <t>Varun Sharma (E039)</t>
  </si>
  <si>
    <t>Monika Singh (E040)</t>
  </si>
  <si>
    <t>Abhishek Kumar (E041)</t>
  </si>
  <si>
    <t>Shreya Mehta (E042)</t>
  </si>
  <si>
    <t>Vivek Jain (E043)</t>
  </si>
  <si>
    <t>Payal Verma (E044)</t>
  </si>
  <si>
    <t>Sachin Gupta (E045)</t>
  </si>
  <si>
    <t>Neelam Sharma (E046)</t>
  </si>
  <si>
    <t>Rohan Singh (E047)</t>
  </si>
  <si>
    <t>Jyoti Kumar (E048)</t>
  </si>
  <si>
    <t>Ashish Yadav (E049)</t>
  </si>
  <si>
    <t>Kiran Gupta (E050)</t>
  </si>
  <si>
    <t>Normal Break</t>
  </si>
  <si>
    <t>Total Working Hours</t>
  </si>
  <si>
    <t>Attended Calls</t>
  </si>
  <si>
    <t>Efficiency</t>
  </si>
  <si>
    <t>Active with Customer</t>
  </si>
  <si>
    <t>Active Time</t>
  </si>
  <si>
    <t>Other</t>
  </si>
  <si>
    <t>Not Working</t>
  </si>
  <si>
    <t>Call Keeping</t>
  </si>
  <si>
    <t>Break During Calls</t>
  </si>
  <si>
    <t>None Break</t>
  </si>
  <si>
    <t>Long Time</t>
  </si>
  <si>
    <t>Short Time</t>
  </si>
  <si>
    <t>Long Call</t>
  </si>
  <si>
    <t>No Hold</t>
  </si>
  <si>
    <t>Transferred calls</t>
  </si>
  <si>
    <t>Conferenced Call</t>
  </si>
  <si>
    <t>Redirected Call</t>
  </si>
  <si>
    <t>Hold Calls</t>
  </si>
  <si>
    <t>% of Calls onHold</t>
  </si>
  <si>
    <t>Average Duration of Calls</t>
  </si>
  <si>
    <t>Avg. In Focus Hold Calls</t>
  </si>
  <si>
    <t>Calls Unattended Time</t>
  </si>
  <si>
    <t xml:space="preserve">employee </t>
  </si>
  <si>
    <t xml:space="preserve">total number of working  hours </t>
  </si>
  <si>
    <t xml:space="preserve">work eficiency </t>
  </si>
  <si>
    <t xml:space="preserve">total break taken </t>
  </si>
  <si>
    <t xml:space="preserve">Emp name </t>
  </si>
  <si>
    <t>Row Labels</t>
  </si>
  <si>
    <t xml:space="preserve">Karan Singh </t>
  </si>
  <si>
    <t xml:space="preserve">Kavita Singh </t>
  </si>
  <si>
    <t xml:space="preserve">Ravi Yadav </t>
  </si>
  <si>
    <t xml:space="preserve">Rohan Singh </t>
  </si>
  <si>
    <t xml:space="preserve">Sahil Jain </t>
  </si>
  <si>
    <t xml:space="preserve">Report 1: working hours </t>
  </si>
  <si>
    <t xml:space="preserve">Total_number of working  hours </t>
  </si>
  <si>
    <t xml:space="preserve">Ayesha Khan </t>
  </si>
  <si>
    <t xml:space="preserve">Divya Sharma </t>
  </si>
  <si>
    <t xml:space="preserve">Harsh Verma </t>
  </si>
  <si>
    <t xml:space="preserve">Isha Gupta </t>
  </si>
  <si>
    <t xml:space="preserve">Monika Singh </t>
  </si>
  <si>
    <t xml:space="preserve">Nitin Kumar </t>
  </si>
  <si>
    <t xml:space="preserve">Riya Sharma </t>
  </si>
  <si>
    <t xml:space="preserve">Tanya Singh </t>
  </si>
  <si>
    <t xml:space="preserve">Vikas Jain </t>
  </si>
  <si>
    <t>Call center data set</t>
  </si>
  <si>
    <t xml:space="preserve">Attended_Calls_percentage </t>
  </si>
  <si>
    <t xml:space="preserve">Report 2: Call percentage </t>
  </si>
  <si>
    <t xml:space="preserve">Report 3 : </t>
  </si>
  <si>
    <t xml:space="preserve">Sum of total break taken </t>
  </si>
  <si>
    <t xml:space="preserve">Total break taken </t>
  </si>
  <si>
    <t>(blank)</t>
  </si>
  <si>
    <t xml:space="preserve"> Not Working</t>
  </si>
  <si>
    <t xml:space="preserve">Report 4 : </t>
  </si>
  <si>
    <t xml:space="preserve"> Not Working_during call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</si>
</sst>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21" fontId="0" fillId="0" borderId="0" xfId="0" applyNumberFormat="1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/>
    <xf numFmtId="0" fontId="4" fillId="3" borderId="0" xfId="0" applyFont="1" applyFill="1"/>
    <xf numFmtId="0" fontId="2" fillId="3" borderId="0" xfId="0" applyFont="1" applyFill="1"/>
    <xf numFmtId="0" fontId="2" fillId="5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 set.xlsx]dashboard 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'!$A$4:$A$8</c:f>
              <c:strCache>
                <c:ptCount val="5"/>
                <c:pt idx="0">
                  <c:v>Karan Singh </c:v>
                </c:pt>
                <c:pt idx="1">
                  <c:v>Kavita Singh </c:v>
                </c:pt>
                <c:pt idx="2">
                  <c:v>Ravi Yadav </c:v>
                </c:pt>
                <c:pt idx="3">
                  <c:v>Rohan Singh </c:v>
                </c:pt>
                <c:pt idx="4">
                  <c:v>Sahil Jain </c:v>
                </c:pt>
              </c:strCache>
            </c:strRef>
          </c:cat>
          <c:val>
            <c:numRef>
              <c:f>'dashboard '!$B$4:$B$8</c:f>
              <c:numCache>
                <c:formatCode>[$-F400]h:mm:ss\ AM/PM</c:formatCode>
                <c:ptCount val="5"/>
                <c:pt idx="0">
                  <c:v>0.38215277777777779</c:v>
                </c:pt>
                <c:pt idx="1">
                  <c:v>0.38374999999999998</c:v>
                </c:pt>
                <c:pt idx="2">
                  <c:v>0.38567129629629632</c:v>
                </c:pt>
                <c:pt idx="3">
                  <c:v>0.38038194444444445</c:v>
                </c:pt>
                <c:pt idx="4">
                  <c:v>0.3808449074074074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0-49EE-BB9B-003E237A3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908896"/>
        <c:axId val="610907456"/>
      </c:barChart>
      <c:catAx>
        <c:axId val="61090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907456"/>
        <c:crosses val="autoZero"/>
        <c:auto val="1"/>
        <c:lblAlgn val="ctr"/>
        <c:lblOffset val="100"/>
        <c:noMultiLvlLbl val="0"/>
      </c:catAx>
      <c:valAx>
        <c:axId val="610907456"/>
        <c:scaling>
          <c:orientation val="minMax"/>
        </c:scaling>
        <c:delete val="1"/>
        <c:axPos val="l"/>
        <c:numFmt formatCode="[$-F400]h:mm:ss\ AM/PM" sourceLinked="1"/>
        <c:majorTickMark val="none"/>
        <c:minorTickMark val="none"/>
        <c:tickLblPos val="nextTo"/>
        <c:crossAx val="610908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 set.xlsx]dashboard 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'dashboard 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'!$D$4:$D$8</c:f>
              <c:strCache>
                <c:ptCount val="5"/>
                <c:pt idx="0">
                  <c:v>Karan Singh </c:v>
                </c:pt>
                <c:pt idx="1">
                  <c:v>Kavita Singh </c:v>
                </c:pt>
                <c:pt idx="2">
                  <c:v>Ravi Yadav </c:v>
                </c:pt>
                <c:pt idx="3">
                  <c:v>Rohan Singh </c:v>
                </c:pt>
                <c:pt idx="4">
                  <c:v>Sahil Jain </c:v>
                </c:pt>
              </c:strCache>
            </c:strRef>
          </c:cat>
          <c:val>
            <c:numRef>
              <c:f>'dashboard '!$E$4:$E$8</c:f>
              <c:numCache>
                <c:formatCode>0.00%</c:formatCode>
                <c:ptCount val="5"/>
                <c:pt idx="0">
                  <c:v>0.90200000000000002</c:v>
                </c:pt>
                <c:pt idx="1">
                  <c:v>0.89700000000000002</c:v>
                </c:pt>
                <c:pt idx="2">
                  <c:v>0.91300000000000003</c:v>
                </c:pt>
                <c:pt idx="3">
                  <c:v>0.89400000000000002</c:v>
                </c:pt>
                <c:pt idx="4">
                  <c:v>0.90100000000000002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5-4F42-9870-88646F481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 set.xlsx]dashboard 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'!$G$4:$G$8</c:f>
              <c:strCache>
                <c:ptCount val="5"/>
                <c:pt idx="0">
                  <c:v>Ayesha Khan </c:v>
                </c:pt>
                <c:pt idx="1">
                  <c:v>Divya Sharma </c:v>
                </c:pt>
                <c:pt idx="2">
                  <c:v>Harsh Verma </c:v>
                </c:pt>
                <c:pt idx="3">
                  <c:v>Monika Singh </c:v>
                </c:pt>
                <c:pt idx="4">
                  <c:v>Riya Sharma </c:v>
                </c:pt>
              </c:strCache>
            </c:strRef>
          </c:cat>
          <c:val>
            <c:numRef>
              <c:f>'dashboard '!$H$4:$H$8</c:f>
              <c:numCache>
                <c:formatCode>[$-F400]h:mm:ss\ AM/PM</c:formatCode>
                <c:ptCount val="5"/>
                <c:pt idx="0">
                  <c:v>8.4722222222222227E-2</c:v>
                </c:pt>
                <c:pt idx="1">
                  <c:v>8.819444444444445E-2</c:v>
                </c:pt>
                <c:pt idx="2">
                  <c:v>9.2361111111111116E-2</c:v>
                </c:pt>
                <c:pt idx="3">
                  <c:v>8.611111111111111E-2</c:v>
                </c:pt>
                <c:pt idx="4">
                  <c:v>8.4722222222222227E-2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B-4E40-B173-6A5E21AE6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918064"/>
        <c:axId val="524919864"/>
      </c:barChart>
      <c:catAx>
        <c:axId val="5249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19864"/>
        <c:crosses val="autoZero"/>
        <c:auto val="1"/>
        <c:lblAlgn val="ctr"/>
        <c:lblOffset val="100"/>
        <c:noMultiLvlLbl val="0"/>
      </c:catAx>
      <c:valAx>
        <c:axId val="5249198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crossAx val="52491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[call center data set.xlsx]dashboard !PivotTable12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'dashboard 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'!$J$4:$J$8</c:f>
              <c:strCache>
                <c:ptCount val="5"/>
                <c:pt idx="0">
                  <c:v>Isha Gupta </c:v>
                </c:pt>
                <c:pt idx="1">
                  <c:v>Nitin Kumar </c:v>
                </c:pt>
                <c:pt idx="2">
                  <c:v>Tanya Singh </c:v>
                </c:pt>
                <c:pt idx="3">
                  <c:v>Vikas Jain </c:v>
                </c:pt>
                <c:pt idx="4">
                  <c:v>(blank)</c:v>
                </c:pt>
              </c:strCache>
            </c:strRef>
          </c:cat>
          <c:val>
            <c:numRef>
              <c:f>'dashboard '!$K$4:$K$8</c:f>
              <c:numCache>
                <c:formatCode>0.00%</c:formatCode>
                <c:ptCount val="5"/>
                <c:pt idx="0">
                  <c:v>8.4000000000000005E-2</c:v>
                </c:pt>
                <c:pt idx="1">
                  <c:v>7.8E-2</c:v>
                </c:pt>
                <c:pt idx="2">
                  <c:v>7.5999999999999998E-2</c:v>
                </c:pt>
                <c:pt idx="3">
                  <c:v>8.2000000000000003E-2</c:v>
                </c:pt>
                <c:pt idx="4">
                  <c:v>0.121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F-44BB-A8B1-BCC6E1F65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45833333333333"/>
          <c:y val="7.6097987751531024E-2"/>
          <c:w val="0.28654974033342823"/>
          <c:h val="0.583537315922070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57149</xdr:rowOff>
    </xdr:from>
    <xdr:to>
      <xdr:col>1</xdr:col>
      <xdr:colOff>2362200</xdr:colOff>
      <xdr:row>19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C17AA6-B2DB-1B7A-02AE-FD4F1A5A1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8</xdr:row>
      <xdr:rowOff>80962</xdr:rowOff>
    </xdr:from>
    <xdr:to>
      <xdr:col>4</xdr:col>
      <xdr:colOff>1762125</xdr:colOff>
      <xdr:row>20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233790-A523-C1DB-3B1C-CEC781FD7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8</xdr:row>
      <xdr:rowOff>33337</xdr:rowOff>
    </xdr:from>
    <xdr:to>
      <xdr:col>9</xdr:col>
      <xdr:colOff>19050</xdr:colOff>
      <xdr:row>20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8D1834-D11F-C402-C978-AC4B2DE82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37712</xdr:colOff>
      <xdr:row>8</xdr:row>
      <xdr:rowOff>149387</xdr:rowOff>
    </xdr:from>
    <xdr:to>
      <xdr:col>11</xdr:col>
      <xdr:colOff>437373</xdr:colOff>
      <xdr:row>19</xdr:row>
      <xdr:rowOff>163675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5D14A2-A9C7-7B55-9EDA-856FDC324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CHATURVEDI" refreshedDate="46298.472252777778" createdVersion="8" refreshedVersion="8" minRefreshableVersion="3" recordCount="49" xr:uid="{3C94845A-F29C-46CD-95F8-DCBA26F7D70F}">
  <cacheSource type="worksheet">
    <worksheetSource ref="A1:F50" sheet="summary "/>
  </cacheSource>
  <cacheFields count="6">
    <cacheField name="employee " numFmtId="0">
      <sharedItems/>
    </cacheField>
    <cacheField name="Emp name " numFmtId="0">
      <sharedItems count="49">
        <s v="Rahul Sharma "/>
        <s v="Priya Singh "/>
        <s v="Amit Kumar "/>
        <s v="Neha Verma "/>
        <s v="Rohit Gupta "/>
        <s v="Anjali Mehta "/>
        <s v="Sandeep Yadav "/>
        <s v="Pooja Sharma "/>
        <s v="Karan Singh "/>
        <s v="Vikas Jain "/>
        <s v="Sneha Gupta "/>
        <s v="Arjun Verma "/>
        <s v="Nisha Kapoor "/>
        <s v="Manish Kumar "/>
        <s v="Riya Sharma "/>
        <s v="Akash Singh "/>
        <s v="Simran Kaur "/>
        <s v="Deepak Yadav "/>
        <s v="Komal Verma "/>
        <s v="Varun Gupta "/>
        <s v="Mohit Sharma "/>
        <s v="Kavita Singh "/>
        <s v="Nitin Kumar "/>
        <s v="Ayesha Khan "/>
        <s v="Rakesh Gupta "/>
        <s v="Shivani Verma "/>
        <s v="Gaurav Mehta "/>
        <s v="Divya Sharma "/>
        <s v="Ankit Yadav "/>
        <s v="Meena Kapoor "/>
        <s v="Sahil Jain "/>
        <s v="Preeti Gupta "/>
        <s v="Rajesh Kumar "/>
        <s v="Tanya Singh "/>
        <s v="Harsh Verma "/>
        <s v="Muskan Sharma "/>
        <s v="Ravi Yadav "/>
        <s v="Isha Gupta "/>
        <s v="Varun Sharma "/>
        <s v="Monika Singh "/>
        <s v="Abhishek Kumar "/>
        <s v="Shreya Mehta "/>
        <s v="Vivek Jain "/>
        <s v="Payal Verma "/>
        <s v="Sachin Gupta "/>
        <s v="Neelam Sharma "/>
        <s v="Rohan Singh "/>
        <s v="Jyoti Kumar "/>
        <s v="Ashish Yadav "/>
      </sharedItems>
    </cacheField>
    <cacheField name="total number of working  hours " numFmtId="164">
      <sharedItems containsSemiMixedTypes="0" containsNonDate="0" containsDate="1" containsString="0" minDate="1899-12-30T07:40:33" maxDate="1899-12-30T09:15:22"/>
    </cacheField>
    <cacheField name="work eficiency " numFmtId="10">
      <sharedItems containsSemiMixedTypes="0" containsString="0" containsNumber="1" minValue="0.67949999999999999" maxValue="0.97119999999999995"/>
    </cacheField>
    <cacheField name="total break taken " numFmtId="164">
      <sharedItems containsSemiMixedTypes="0" containsNonDate="0" containsDate="1" containsString="0" minDate="1899-12-30T01:13:00" maxDate="1899-12-30T02:13:00"/>
    </cacheField>
    <cacheField name="attended calls " numFmtId="0">
      <sharedItems containsSemiMixedTypes="0" containsString="0" containsNumber="1" containsInteger="1" minValue="35" maxValue="1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CHATURVEDI" refreshedDate="46299.380063194447" createdVersion="8" refreshedVersion="8" minRefreshableVersion="3" recordCount="49" xr:uid="{C4991C62-75EA-4D45-AEA8-961F06662167}">
  <cacheSource type="worksheet">
    <worksheetSource ref="A1:G50" sheet="summary "/>
  </cacheSource>
  <cacheFields count="7">
    <cacheField name="employee " numFmtId="0">
      <sharedItems/>
    </cacheField>
    <cacheField name="Emp name " numFmtId="0">
      <sharedItems count="49">
        <s v="Rahul Sharma "/>
        <s v="Priya Singh "/>
        <s v="Amit Kumar "/>
        <s v="Neha Verma "/>
        <s v="Rohit Gupta "/>
        <s v="Anjali Mehta "/>
        <s v="Sandeep Yadav "/>
        <s v="Pooja Sharma "/>
        <s v="Karan Singh "/>
        <s v="Vikas Jain "/>
        <s v="Sneha Gupta "/>
        <s v="Arjun Verma "/>
        <s v="Nisha Kapoor "/>
        <s v="Manish Kumar "/>
        <s v="Riya Sharma "/>
        <s v="Akash Singh "/>
        <s v="Simran Kaur "/>
        <s v="Deepak Yadav "/>
        <s v="Komal Verma "/>
        <s v="Varun Gupta "/>
        <s v="Mohit Sharma "/>
        <s v="Kavita Singh "/>
        <s v="Nitin Kumar "/>
        <s v="Ayesha Khan "/>
        <s v="Rakesh Gupta "/>
        <s v="Shivani Verma "/>
        <s v="Gaurav Mehta "/>
        <s v="Divya Sharma "/>
        <s v="Ankit Yadav "/>
        <s v="Meena Kapoor "/>
        <s v="Sahil Jain "/>
        <s v="Preeti Gupta "/>
        <s v="Rajesh Kumar "/>
        <s v="Tanya Singh "/>
        <s v="Harsh Verma "/>
        <s v="Muskan Sharma "/>
        <s v="Ravi Yadav "/>
        <s v="Isha Gupta "/>
        <s v="Varun Sharma "/>
        <s v="Monika Singh "/>
        <s v="Abhishek Kumar "/>
        <s v="Shreya Mehta "/>
        <s v="Vivek Jain "/>
        <s v="Payal Verma "/>
        <s v="Sachin Gupta "/>
        <s v="Neelam Sharma "/>
        <s v="Rohan Singh "/>
        <s v="Jyoti Kumar "/>
        <s v="Ashish Yadav "/>
      </sharedItems>
    </cacheField>
    <cacheField name="total number of working  hours " numFmtId="164">
      <sharedItems containsSemiMixedTypes="0" containsNonDate="0" containsDate="1" containsString="0" minDate="1899-12-30T07:40:33" maxDate="1899-12-30T09:15:22"/>
    </cacheField>
    <cacheField name="work eficiency " numFmtId="10">
      <sharedItems containsSemiMixedTypes="0" containsString="0" containsNumber="1" minValue="0.67949999999999999" maxValue="0.97119999999999995"/>
    </cacheField>
    <cacheField name="total break taken " numFmtId="164">
      <sharedItems containsSemiMixedTypes="0" containsNonDate="0" containsDate="1" containsString="0" minDate="1899-12-30T01:13:00" maxDate="1899-12-30T02:13:00"/>
    </cacheField>
    <cacheField name="attended calls " numFmtId="0">
      <sharedItems containsSemiMixedTypes="0" containsString="0" containsNumber="1" containsInteger="1" minValue="35" maxValue="108"/>
    </cacheField>
    <cacheField name="Attended Calls" numFmtId="10">
      <sharedItems containsSemiMixedTypes="0" containsString="0" containsNumber="1" minValue="0.627" maxValue="0.9130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 CHATURVEDI" refreshedDate="46299.475908680557" createdVersion="8" refreshedVersion="8" minRefreshableVersion="3" recordCount="52" xr:uid="{959423A4-DB8A-41E5-994B-21D1AF7F3106}">
  <cacheSource type="worksheet">
    <worksheetSource ref="A1:H53" sheet="summary "/>
  </cacheSource>
  <cacheFields count="8">
    <cacheField name="employee " numFmtId="0">
      <sharedItems containsBlank="1"/>
    </cacheField>
    <cacheField name="Emp name " numFmtId="0">
      <sharedItems containsBlank="1" count="50">
        <s v="Rahul Sharma "/>
        <s v="Priya Singh "/>
        <s v="Amit Kumar "/>
        <s v="Neha Verma "/>
        <s v="Rohit Gupta "/>
        <s v="Anjali Mehta "/>
        <s v="Sandeep Yadav "/>
        <s v="Pooja Sharma "/>
        <s v="Karan Singh "/>
        <s v="Vikas Jain "/>
        <s v="Sneha Gupta "/>
        <s v="Arjun Verma "/>
        <s v="Nisha Kapoor "/>
        <s v="Manish Kumar "/>
        <s v="Riya Sharma "/>
        <s v="Akash Singh "/>
        <s v="Simran Kaur "/>
        <s v="Deepak Yadav "/>
        <s v="Komal Verma "/>
        <s v="Varun Gupta "/>
        <s v="Mohit Sharma "/>
        <s v="Kavita Singh "/>
        <s v="Nitin Kumar "/>
        <s v="Ayesha Khan "/>
        <s v="Rakesh Gupta "/>
        <s v="Shivani Verma "/>
        <s v="Gaurav Mehta "/>
        <s v="Divya Sharma "/>
        <s v="Ankit Yadav "/>
        <s v="Meena Kapoor "/>
        <s v="Sahil Jain "/>
        <s v="Preeti Gupta "/>
        <s v="Rajesh Kumar "/>
        <s v="Tanya Singh "/>
        <s v="Harsh Verma "/>
        <s v="Muskan Sharma "/>
        <s v="Ravi Yadav "/>
        <s v="Isha Gupta "/>
        <s v="Varun Sharma "/>
        <s v="Monika Singh "/>
        <s v="Abhishek Kumar "/>
        <s v="Shreya Mehta "/>
        <s v="Vivek Jain "/>
        <s v="Payal Verma "/>
        <s v="Sachin Gupta "/>
        <s v="Neelam Sharma "/>
        <s v="Rohan Singh "/>
        <s v="Jyoti Kumar "/>
        <s v="Ashish Yadav "/>
        <m/>
      </sharedItems>
    </cacheField>
    <cacheField name="total number of working  hours " numFmtId="0">
      <sharedItems containsNonDate="0" containsDate="1" containsString="0" containsBlank="1" minDate="1899-12-30T07:40:33" maxDate="1899-12-30T09:15:22"/>
    </cacheField>
    <cacheField name="work eficiency " numFmtId="0">
      <sharedItems containsString="0" containsBlank="1" containsNumber="1" minValue="0.67949999999999999" maxValue="0.97119999999999995"/>
    </cacheField>
    <cacheField name="total break taken " numFmtId="164">
      <sharedItems containsNonDate="0" containsDate="1" containsString="0" containsBlank="1" minDate="1899-12-30T01:13:00" maxDate="1899-12-30T02:13:00"/>
    </cacheField>
    <cacheField name="Attended Calls" numFmtId="0">
      <sharedItems containsString="0" containsBlank="1" containsNumber="1" minValue="0.627" maxValue="0.91300000000000003"/>
    </cacheField>
    <cacheField name="Not Working" numFmtId="10">
      <sharedItems containsSemiMixedTypes="0" containsString="0" containsNumber="1" minValue="1.4999999999999999E-2" maxValue="8.4000000000000005E-2"/>
    </cacheField>
    <cacheField name="No Hold" numFmtId="0">
      <sharedItems containsSemiMixedTypes="0" containsString="0" containsNumber="1" containsInteger="1" minValue="18" maxValue="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Rahul Sharma (E001)"/>
    <x v="0"/>
    <d v="1899-12-30T08:15:43"/>
    <n v="0.78539999999999999"/>
    <d v="1899-12-30T01:30:00"/>
    <n v="45"/>
  </r>
  <r>
    <s v="Priya Singh (E002)"/>
    <x v="1"/>
    <d v="1899-12-30T08:42:18"/>
    <n v="0.84319999999999995"/>
    <d v="1899-12-30T01:43:00"/>
    <n v="68"/>
  </r>
  <r>
    <s v="Amit Kumar (E003)"/>
    <x v="2"/>
    <d v="1899-12-30T07:55:26"/>
    <n v="0.71450000000000002"/>
    <d v="1899-12-30T01:21:00"/>
    <n v="39"/>
  </r>
  <r>
    <s v="Neha Verma (E004)"/>
    <x v="3"/>
    <d v="1899-12-30T08:30:51"/>
    <n v="0.89449999999999996"/>
    <d v="1899-12-30T01:57:00"/>
    <n v="72"/>
  </r>
  <r>
    <s v="Rohit Gupta (E005)"/>
    <x v="4"/>
    <d v="1899-12-30T09:05:12"/>
    <n v="0.9425"/>
    <d v="1899-12-30T01:45:00"/>
    <n v="98"/>
  </r>
  <r>
    <s v="Anjali Mehta (E006)"/>
    <x v="5"/>
    <d v="1899-12-30T08:20:37"/>
    <n v="0.81630000000000003"/>
    <d v="1899-12-30T01:26:00"/>
    <n v="54"/>
  </r>
  <r>
    <s v="Sandeep Yadav (E007)"/>
    <x v="6"/>
    <d v="1899-12-30T07:48:45"/>
    <n v="0.74819999999999998"/>
    <d v="1899-12-30T01:46:00"/>
    <n v="42"/>
  </r>
  <r>
    <s v="Pooja Sharma (E008)"/>
    <x v="7"/>
    <d v="1899-12-30T08:55:29"/>
    <n v="0.91359999999999997"/>
    <d v="1899-12-30T01:33:00"/>
    <n v="81"/>
  </r>
  <r>
    <s v="Karan Singh (E009)"/>
    <x v="8"/>
    <d v="1899-12-30T09:10:18"/>
    <n v="0.96419999999999995"/>
    <d v="1899-12-30T02:00:00"/>
    <n v="105"/>
  </r>
  <r>
    <s v="Vikas Jain (E010)"/>
    <x v="9"/>
    <d v="1899-12-30T07:40:33"/>
    <n v="0.6875"/>
    <d v="1899-12-30T01:13:00"/>
    <n v="35"/>
  </r>
  <r>
    <s v="Sneha Gupta (E011)"/>
    <x v="10"/>
    <d v="1899-12-30T08:35:47"/>
    <n v="0.87519999999999998"/>
    <d v="1899-12-30T01:52:00"/>
    <n v="76"/>
  </r>
  <r>
    <s v="Arjun Verma (E012)"/>
    <x v="11"/>
    <d v="1899-12-30T08:05:22"/>
    <n v="0.7984"/>
    <d v="1899-12-30T01:31:00"/>
    <n v="48"/>
  </r>
  <r>
    <s v="Nisha Kapoor (E013)"/>
    <x v="12"/>
    <d v="1899-12-30T09:00:41"/>
    <n v="0.92779999999999996"/>
    <d v="1899-12-30T01:46:00"/>
    <n v="89"/>
  </r>
  <r>
    <s v="Manish Kumar (E014)"/>
    <x v="13"/>
    <d v="1899-12-30T07:52:19"/>
    <n v="0.73260000000000003"/>
    <d v="1899-12-30T01:31:00"/>
    <n v="41"/>
  </r>
  <r>
    <s v="Riya Sharma (E015)"/>
    <x v="14"/>
    <d v="1899-12-30T08:40:56"/>
    <n v="0.88629999999999998"/>
    <d v="1899-12-30T02:02:00"/>
    <n v="73"/>
  </r>
  <r>
    <s v="Akash Singh (E016)"/>
    <x v="15"/>
    <d v="1899-12-30T08:15:31"/>
    <n v="0.82450000000000001"/>
    <d v="1899-12-30T01:17:00"/>
    <n v="57"/>
  </r>
  <r>
    <s v="Simran Kaur (E017)"/>
    <x v="16"/>
    <d v="1899-12-30T09:05:48"/>
    <n v="0.9385"/>
    <d v="1899-12-30T01:51:00"/>
    <n v="94"/>
  </r>
  <r>
    <s v="Deepak Yadav (E018)"/>
    <x v="17"/>
    <d v="1899-12-30T08:25:14"/>
    <n v="0.85270000000000001"/>
    <d v="1899-12-30T01:50:00"/>
    <n v="63"/>
  </r>
  <r>
    <s v="Komal Verma (E019)"/>
    <x v="18"/>
    <d v="1899-12-30T07:58:39"/>
    <n v="0.77639999999999998"/>
    <d v="1899-12-30T01:35:00"/>
    <n v="46"/>
  </r>
  <r>
    <s v="Varun Gupta (E020)"/>
    <x v="19"/>
    <d v="1899-12-30T08:50:27"/>
    <n v="0.90739999999999998"/>
    <d v="1899-12-30T01:50:00"/>
    <n v="85"/>
  </r>
  <r>
    <s v="Mohit Sharma (E021)"/>
    <x v="20"/>
    <d v="1899-12-30T08:18:42"/>
    <n v="0.80359999999999998"/>
    <d v="1899-12-30T01:37:00"/>
    <n v="52"/>
  </r>
  <r>
    <s v="Kavita Singh (E022)"/>
    <x v="21"/>
    <d v="1899-12-30T09:12:36"/>
    <n v="0.95179999999999998"/>
    <d v="1899-12-30T01:43:00"/>
    <n v="101"/>
  </r>
  <r>
    <s v="Nitin Kumar (E023)"/>
    <x v="22"/>
    <d v="1899-12-30T07:45:51"/>
    <n v="0.70920000000000005"/>
    <d v="1899-12-30T01:34:00"/>
    <n v="37"/>
  </r>
  <r>
    <s v="Ayesha Khan (E024)"/>
    <x v="23"/>
    <d v="1899-12-30T08:38:09"/>
    <n v="0.88939999999999997"/>
    <d v="1899-12-30T02:02:00"/>
    <n v="79"/>
  </r>
  <r>
    <s v="Rakesh Gupta (E025)"/>
    <x v="24"/>
    <d v="1899-12-30T08:10:28"/>
    <n v="0.81720000000000004"/>
    <d v="1899-12-30T01:20:00"/>
    <n v="49"/>
  </r>
  <r>
    <s v="Shivani Verma (E026)"/>
    <x v="25"/>
    <d v="1899-12-30T08:45:36"/>
    <n v="0.86580000000000001"/>
    <d v="1899-12-30T01:47:00"/>
    <n v="70"/>
  </r>
  <r>
    <s v="Gaurav Mehta (E027)"/>
    <x v="26"/>
    <d v="1899-12-30T09:02:17"/>
    <n v="0.9214"/>
    <d v="1899-12-30T01:25:00"/>
    <n v="92"/>
  </r>
  <r>
    <s v="Divya Sharma (E028)"/>
    <x v="27"/>
    <d v="1899-12-30T07:50:44"/>
    <n v="0.7268"/>
    <d v="1899-12-30T02:07:00"/>
    <n v="43"/>
  </r>
  <r>
    <s v="Ankit Yadav (E029)"/>
    <x v="28"/>
    <d v="1899-12-30T08:32:53"/>
    <n v="0.8921"/>
    <d v="1899-12-30T01:33:00"/>
    <n v="75"/>
  </r>
  <r>
    <s v="Meena Kapoor (E030)"/>
    <x v="29"/>
    <d v="1899-12-30T08:22:31"/>
    <n v="0.8347"/>
    <d v="1899-12-30T01:31:00"/>
    <n v="58"/>
  </r>
  <r>
    <s v="Sahil Jain (E031)"/>
    <x v="30"/>
    <d v="1899-12-30T09:08:25"/>
    <n v="0.96050000000000002"/>
    <d v="1899-12-30T01:48:00"/>
    <n v="103"/>
  </r>
  <r>
    <s v="Preeti Gupta (E032)"/>
    <x v="31"/>
    <d v="1899-12-30T08:05:48"/>
    <n v="0.76829999999999998"/>
    <d v="1899-12-30T01:51:00"/>
    <n v="47"/>
  </r>
  <r>
    <s v="Rajesh Kumar (E033)"/>
    <x v="32"/>
    <d v="1899-12-30T08:47:19"/>
    <n v="0.90620000000000001"/>
    <d v="1899-12-30T01:21:00"/>
    <n v="83"/>
  </r>
  <r>
    <s v="Tanya Singh (E034)"/>
    <x v="33"/>
    <d v="1899-12-30T07:55:34"/>
    <n v="0.69840000000000002"/>
    <d v="1899-12-30T01:51:00"/>
    <n v="40"/>
  </r>
  <r>
    <s v="Harsh Verma (E035)"/>
    <x v="34"/>
    <d v="1899-12-30T08:58:46"/>
    <n v="0.93420000000000003"/>
    <d v="1899-12-30T02:13:00"/>
    <n v="88"/>
  </r>
  <r>
    <s v="Muskan Sharma (E036)"/>
    <x v="35"/>
    <d v="1899-12-30T08:28:57"/>
    <n v="0.84160000000000001"/>
    <d v="1899-12-30T01:19:00"/>
    <n v="61"/>
  </r>
  <r>
    <s v="Ravi Yadav (E037)"/>
    <x v="36"/>
    <d v="1899-12-30T09:15:22"/>
    <n v="0.97119999999999995"/>
    <d v="1899-12-30T01:47:00"/>
    <n v="108"/>
  </r>
  <r>
    <s v="Isha Gupta (E038)"/>
    <x v="37"/>
    <d v="1899-12-30T07:42:38"/>
    <n v="0.67949999999999999"/>
    <d v="1899-12-30T01:47:00"/>
    <n v="36"/>
  </r>
  <r>
    <s v="Varun Sharma (E039)"/>
    <x v="38"/>
    <d v="1899-12-30T08:36:15"/>
    <n v="0.8831"/>
    <d v="1899-12-30T01:22:00"/>
    <n v="78"/>
  </r>
  <r>
    <s v="Monika Singh (E040)"/>
    <x v="39"/>
    <d v="1899-12-30T08:12:49"/>
    <n v="0.80730000000000002"/>
    <d v="1899-12-30T02:04:00"/>
    <n v="51"/>
  </r>
  <r>
    <s v="Abhishek Kumar (E041)"/>
    <x v="40"/>
    <d v="1899-12-30T08:52:07"/>
    <n v="0.91479999999999995"/>
    <d v="1899-12-30T01:34:00"/>
    <n v="86"/>
  </r>
  <r>
    <s v="Shreya Mehta (E042)"/>
    <x v="41"/>
    <d v="1899-12-30T08:18:26"/>
    <n v="0.82940000000000003"/>
    <d v="1899-12-30T01:57:00"/>
    <n v="55"/>
  </r>
  <r>
    <s v="Vivek Jain (E043)"/>
    <x v="42"/>
    <d v="1899-12-30T09:03:41"/>
    <n v="0.94669999999999999"/>
    <d v="1899-12-30T01:18:00"/>
    <n v="96"/>
  </r>
  <r>
    <s v="Payal Verma (E044)"/>
    <x v="43"/>
    <d v="1899-12-30T07:57:53"/>
    <n v="0.74360000000000004"/>
    <d v="1899-12-30T01:54:00"/>
    <n v="44"/>
  </r>
  <r>
    <s v="Sachin Gupta (E045)"/>
    <x v="44"/>
    <d v="1899-12-30T08:41:32"/>
    <n v="0.87839999999999996"/>
    <d v="1899-12-30T01:33:00"/>
    <n v="71"/>
  </r>
  <r>
    <s v="Neelam Sharma (E046)"/>
    <x v="45"/>
    <d v="1899-12-30T08:26:18"/>
    <n v="0.84909999999999997"/>
    <d v="1899-12-30T01:49:00"/>
    <n v="59"/>
  </r>
  <r>
    <s v="Rohan Singh (E047)"/>
    <x v="46"/>
    <d v="1899-12-30T09:07:45"/>
    <n v="0.95320000000000005"/>
    <d v="1899-12-30T01:55:00"/>
    <n v="99"/>
  </r>
  <r>
    <s v="Jyoti Kumar (E048)"/>
    <x v="47"/>
    <d v="1899-12-30T08:03:27"/>
    <n v="0.77180000000000004"/>
    <d v="1899-12-30T01:20:00"/>
    <n v="46"/>
  </r>
  <r>
    <s v="Ashish Yadav (E049)"/>
    <x v="48"/>
    <d v="1899-12-30T08:49:54"/>
    <n v="0.90129999999999999"/>
    <d v="1899-12-30T01:51:00"/>
    <n v="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Rahul Sharma (E001)"/>
    <x v="0"/>
    <d v="1899-12-30T08:15:43"/>
    <n v="0.78539999999999999"/>
    <d v="1899-12-30T01:30:00"/>
    <n v="45"/>
    <n v="0.72299999999999998"/>
  </r>
  <r>
    <s v="Priya Singh (E002)"/>
    <x v="1"/>
    <d v="1899-12-30T08:42:18"/>
    <n v="0.84319999999999995"/>
    <d v="1899-12-30T01:43:00"/>
    <n v="68"/>
    <n v="0.78400000000000003"/>
  </r>
  <r>
    <s v="Amit Kumar (E003)"/>
    <x v="2"/>
    <d v="1899-12-30T07:55:26"/>
    <n v="0.71450000000000002"/>
    <d v="1899-12-30T01:21:00"/>
    <n v="39"/>
    <n v="0.68200000000000005"/>
  </r>
  <r>
    <s v="Neha Verma (E004)"/>
    <x v="3"/>
    <d v="1899-12-30T08:30:51"/>
    <n v="0.89449999999999996"/>
    <d v="1899-12-30T01:57:00"/>
    <n v="72"/>
    <n v="0.82599999999999996"/>
  </r>
  <r>
    <s v="Rohit Gupta (E005)"/>
    <x v="4"/>
    <d v="1899-12-30T09:05:12"/>
    <n v="0.9425"/>
    <d v="1899-12-30T01:45:00"/>
    <n v="98"/>
    <n v="0.88400000000000001"/>
  </r>
  <r>
    <s v="Anjali Mehta (E006)"/>
    <x v="5"/>
    <d v="1899-12-30T08:20:37"/>
    <n v="0.81630000000000003"/>
    <d v="1899-12-30T01:26:00"/>
    <n v="54"/>
    <n v="0.752"/>
  </r>
  <r>
    <s v="Sandeep Yadav (E007)"/>
    <x v="6"/>
    <d v="1899-12-30T07:48:45"/>
    <n v="0.74819999999999998"/>
    <d v="1899-12-30T01:46:00"/>
    <n v="42"/>
    <n v="0.69499999999999995"/>
  </r>
  <r>
    <s v="Pooja Sharma (E008)"/>
    <x v="7"/>
    <d v="1899-12-30T08:55:29"/>
    <n v="0.91359999999999997"/>
    <d v="1899-12-30T01:33:00"/>
    <n v="81"/>
    <n v="0.85299999999999998"/>
  </r>
  <r>
    <s v="Karan Singh (E009)"/>
    <x v="8"/>
    <d v="1899-12-30T09:10:18"/>
    <n v="0.96419999999999995"/>
    <d v="1899-12-30T02:00:00"/>
    <n v="105"/>
    <n v="0.90200000000000002"/>
  </r>
  <r>
    <s v="Vikas Jain (E010)"/>
    <x v="9"/>
    <d v="1899-12-30T07:40:33"/>
    <n v="0.6875"/>
    <d v="1899-12-30T01:13:00"/>
    <n v="35"/>
    <n v="0.63800000000000001"/>
  </r>
  <r>
    <s v="Sneha Gupta (E011)"/>
    <x v="10"/>
    <d v="1899-12-30T08:35:47"/>
    <n v="0.87519999999999998"/>
    <d v="1899-12-30T01:52:00"/>
    <n v="76"/>
    <n v="0.80100000000000005"/>
  </r>
  <r>
    <s v="Arjun Verma (E012)"/>
    <x v="11"/>
    <d v="1899-12-30T08:05:22"/>
    <n v="0.7984"/>
    <d v="1899-12-30T01:31:00"/>
    <n v="48"/>
    <n v="0.73599999999999999"/>
  </r>
  <r>
    <s v="Nisha Kapoor (E013)"/>
    <x v="12"/>
    <d v="1899-12-30T09:00:41"/>
    <n v="0.92779999999999996"/>
    <d v="1899-12-30T01:46:00"/>
    <n v="89"/>
    <n v="0.86899999999999999"/>
  </r>
  <r>
    <s v="Manish Kumar (E014)"/>
    <x v="13"/>
    <d v="1899-12-30T07:52:19"/>
    <n v="0.73260000000000003"/>
    <d v="1899-12-30T01:31:00"/>
    <n v="41"/>
    <n v="0.67800000000000005"/>
  </r>
  <r>
    <s v="Riya Sharma (E015)"/>
    <x v="14"/>
    <d v="1899-12-30T08:40:56"/>
    <n v="0.88629999999999998"/>
    <d v="1899-12-30T02:02:00"/>
    <n v="73"/>
    <n v="0.82099999999999995"/>
  </r>
  <r>
    <s v="Akash Singh (E016)"/>
    <x v="15"/>
    <d v="1899-12-30T08:15:31"/>
    <n v="0.82450000000000001"/>
    <d v="1899-12-30T01:17:00"/>
    <n v="57"/>
    <n v="0.76400000000000001"/>
  </r>
  <r>
    <s v="Simran Kaur (E017)"/>
    <x v="16"/>
    <d v="1899-12-30T09:05:48"/>
    <n v="0.9385"/>
    <d v="1899-12-30T01:51:00"/>
    <n v="94"/>
    <n v="0.88100000000000001"/>
  </r>
  <r>
    <s v="Deepak Yadav (E018)"/>
    <x v="17"/>
    <d v="1899-12-30T08:25:14"/>
    <n v="0.85270000000000001"/>
    <d v="1899-12-30T01:50:00"/>
    <n v="63"/>
    <n v="0.79300000000000004"/>
  </r>
  <r>
    <s v="Komal Verma (E019)"/>
    <x v="18"/>
    <d v="1899-12-30T07:58:39"/>
    <n v="0.77639999999999998"/>
    <d v="1899-12-30T01:35:00"/>
    <n v="46"/>
    <n v="0.71199999999999997"/>
  </r>
  <r>
    <s v="Varun Gupta (E020)"/>
    <x v="19"/>
    <d v="1899-12-30T08:50:27"/>
    <n v="0.90739999999999998"/>
    <d v="1899-12-30T01:50:00"/>
    <n v="85"/>
    <n v="0.84599999999999997"/>
  </r>
  <r>
    <s v="Mohit Sharma (E021)"/>
    <x v="20"/>
    <d v="1899-12-30T08:18:42"/>
    <n v="0.80359999999999998"/>
    <d v="1899-12-30T01:37:00"/>
    <n v="52"/>
    <n v="0.748"/>
  </r>
  <r>
    <s v="Kavita Singh (E022)"/>
    <x v="21"/>
    <d v="1899-12-30T09:12:36"/>
    <n v="0.95179999999999998"/>
    <d v="1899-12-30T01:43:00"/>
    <n v="101"/>
    <n v="0.89700000000000002"/>
  </r>
  <r>
    <s v="Nitin Kumar (E023)"/>
    <x v="22"/>
    <d v="1899-12-30T07:45:51"/>
    <n v="0.70920000000000005"/>
    <d v="1899-12-30T01:34:00"/>
    <n v="37"/>
    <n v="0.65400000000000003"/>
  </r>
  <r>
    <s v="Ayesha Khan (E024)"/>
    <x v="23"/>
    <d v="1899-12-30T08:38:09"/>
    <n v="0.88939999999999997"/>
    <d v="1899-12-30T02:02:00"/>
    <n v="79"/>
    <n v="0.82799999999999996"/>
  </r>
  <r>
    <s v="Rakesh Gupta (E025)"/>
    <x v="24"/>
    <d v="1899-12-30T08:10:28"/>
    <n v="0.81720000000000004"/>
    <d v="1899-12-30T01:20:00"/>
    <n v="49"/>
    <n v="0.75900000000000001"/>
  </r>
  <r>
    <s v="Shivani Verma (E026)"/>
    <x v="25"/>
    <d v="1899-12-30T08:45:36"/>
    <n v="0.86580000000000001"/>
    <d v="1899-12-30T01:47:00"/>
    <n v="70"/>
    <n v="0.80500000000000005"/>
  </r>
  <r>
    <s v="Gaurav Mehta (E027)"/>
    <x v="26"/>
    <d v="1899-12-30T09:02:17"/>
    <n v="0.9214"/>
    <d v="1899-12-30T01:25:00"/>
    <n v="92"/>
    <n v="0.86299999999999999"/>
  </r>
  <r>
    <s v="Divya Sharma (E028)"/>
    <x v="27"/>
    <d v="1899-12-30T07:50:44"/>
    <n v="0.7268"/>
    <d v="1899-12-30T02:07:00"/>
    <n v="43"/>
    <n v="0.67100000000000004"/>
  </r>
  <r>
    <s v="Ankit Yadav (E029)"/>
    <x v="28"/>
    <d v="1899-12-30T08:32:53"/>
    <n v="0.8921"/>
    <d v="1899-12-30T01:33:00"/>
    <n v="75"/>
    <n v="0.83399999999999996"/>
  </r>
  <r>
    <s v="Meena Kapoor (E030)"/>
    <x v="29"/>
    <d v="1899-12-30T08:22:31"/>
    <n v="0.8347"/>
    <d v="1899-12-30T01:31:00"/>
    <n v="58"/>
    <n v="0.77300000000000002"/>
  </r>
  <r>
    <s v="Sahil Jain (E031)"/>
    <x v="30"/>
    <d v="1899-12-30T09:08:25"/>
    <n v="0.96050000000000002"/>
    <d v="1899-12-30T01:48:00"/>
    <n v="103"/>
    <n v="0.90100000000000002"/>
  </r>
  <r>
    <s v="Preeti Gupta (E032)"/>
    <x v="31"/>
    <d v="1899-12-30T08:05:48"/>
    <n v="0.76829999999999998"/>
    <d v="1899-12-30T01:51:00"/>
    <n v="47"/>
    <n v="0.70599999999999996"/>
  </r>
  <r>
    <s v="Rajesh Kumar (E033)"/>
    <x v="32"/>
    <d v="1899-12-30T08:47:19"/>
    <n v="0.90620000000000001"/>
    <d v="1899-12-30T01:21:00"/>
    <n v="83"/>
    <n v="0.84899999999999998"/>
  </r>
  <r>
    <s v="Tanya Singh (E034)"/>
    <x v="33"/>
    <d v="1899-12-30T07:55:34"/>
    <n v="0.69840000000000002"/>
    <d v="1899-12-30T01:51:00"/>
    <n v="40"/>
    <n v="0.64200000000000002"/>
  </r>
  <r>
    <s v="Harsh Verma (E035)"/>
    <x v="34"/>
    <d v="1899-12-30T08:58:46"/>
    <n v="0.93420000000000003"/>
    <d v="1899-12-30T02:13:00"/>
    <n v="88"/>
    <n v="0.872"/>
  </r>
  <r>
    <s v="Muskan Sharma (E036)"/>
    <x v="35"/>
    <d v="1899-12-30T08:28:57"/>
    <n v="0.84160000000000001"/>
    <d v="1899-12-30T01:19:00"/>
    <n v="61"/>
    <n v="0.78100000000000003"/>
  </r>
  <r>
    <s v="Ravi Yadav (E037)"/>
    <x v="36"/>
    <d v="1899-12-30T09:15:22"/>
    <n v="0.97119999999999995"/>
    <d v="1899-12-30T01:47:00"/>
    <n v="108"/>
    <n v="0.91300000000000003"/>
  </r>
  <r>
    <s v="Isha Gupta (E038)"/>
    <x v="37"/>
    <d v="1899-12-30T07:42:38"/>
    <n v="0.67949999999999999"/>
    <d v="1899-12-30T01:47:00"/>
    <n v="36"/>
    <n v="0.627"/>
  </r>
  <r>
    <s v="Varun Sharma (E039)"/>
    <x v="38"/>
    <d v="1899-12-30T08:36:15"/>
    <n v="0.8831"/>
    <d v="1899-12-30T01:22:00"/>
    <n v="78"/>
    <n v="0.82"/>
  </r>
  <r>
    <s v="Monika Singh (E040)"/>
    <x v="39"/>
    <d v="1899-12-30T08:12:49"/>
    <n v="0.80730000000000002"/>
    <d v="1899-12-30T02:04:00"/>
    <n v="51"/>
    <n v="0.745"/>
  </r>
  <r>
    <s v="Abhishek Kumar (E041)"/>
    <x v="40"/>
    <d v="1899-12-30T08:52:07"/>
    <n v="0.91479999999999995"/>
    <d v="1899-12-30T01:34:00"/>
    <n v="86"/>
    <n v="0.85699999999999998"/>
  </r>
  <r>
    <s v="Shreya Mehta (E042)"/>
    <x v="41"/>
    <d v="1899-12-30T08:18:26"/>
    <n v="0.82940000000000003"/>
    <d v="1899-12-30T01:57:00"/>
    <n v="55"/>
    <n v="0.76800000000000002"/>
  </r>
  <r>
    <s v="Vivek Jain (E043)"/>
    <x v="42"/>
    <d v="1899-12-30T09:03:41"/>
    <n v="0.94669999999999999"/>
    <d v="1899-12-30T01:18:00"/>
    <n v="96"/>
    <n v="0.88900000000000001"/>
  </r>
  <r>
    <s v="Payal Verma (E044)"/>
    <x v="43"/>
    <d v="1899-12-30T07:57:53"/>
    <n v="0.74360000000000004"/>
    <d v="1899-12-30T01:54:00"/>
    <n v="44"/>
    <n v="0.68899999999999995"/>
  </r>
  <r>
    <s v="Sachin Gupta (E045)"/>
    <x v="44"/>
    <d v="1899-12-30T08:41:32"/>
    <n v="0.87839999999999996"/>
    <d v="1899-12-30T01:33:00"/>
    <n v="71"/>
    <n v="0.81599999999999995"/>
  </r>
  <r>
    <s v="Neelam Sharma (E046)"/>
    <x v="45"/>
    <d v="1899-12-30T08:26:18"/>
    <n v="0.84909999999999997"/>
    <d v="1899-12-30T01:49:00"/>
    <n v="59"/>
    <n v="0.78600000000000003"/>
  </r>
  <r>
    <s v="Rohan Singh (E047)"/>
    <x v="46"/>
    <d v="1899-12-30T09:07:45"/>
    <n v="0.95320000000000005"/>
    <d v="1899-12-30T01:55:00"/>
    <n v="99"/>
    <n v="0.89400000000000002"/>
  </r>
  <r>
    <s v="Jyoti Kumar (E048)"/>
    <x v="47"/>
    <d v="1899-12-30T08:03:27"/>
    <n v="0.77180000000000004"/>
    <d v="1899-12-30T01:20:00"/>
    <n v="46"/>
    <n v="0.71"/>
  </r>
  <r>
    <s v="Ashish Yadav (E049)"/>
    <x v="48"/>
    <d v="1899-12-30T08:49:54"/>
    <n v="0.90129999999999999"/>
    <d v="1899-12-30T01:51:00"/>
    <n v="82"/>
    <n v="0.8419999999999999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Rahul Sharma (E001)"/>
    <x v="0"/>
    <d v="1899-12-30T08:15:43"/>
    <n v="0.78539999999999999"/>
    <d v="1899-12-30T01:30:00"/>
    <n v="0.72299999999999998"/>
    <n v="5.0999999999999997E-2"/>
    <n v="24"/>
  </r>
  <r>
    <s v="Priya Singh (E002)"/>
    <x v="1"/>
    <d v="1899-12-30T08:42:18"/>
    <n v="0.84319999999999995"/>
    <d v="1899-12-30T01:43:00"/>
    <n v="0.78400000000000003"/>
    <n v="4.2000000000000003E-2"/>
    <n v="39"/>
  </r>
  <r>
    <s v="Amit Kumar (E003)"/>
    <x v="2"/>
    <d v="1899-12-30T07:55:26"/>
    <n v="0.71450000000000002"/>
    <d v="1899-12-30T01:21:00"/>
    <n v="0.68200000000000005"/>
    <n v="7.1999999999999995E-2"/>
    <n v="21"/>
  </r>
  <r>
    <s v="Neha Verma (E004)"/>
    <x v="3"/>
    <d v="1899-12-30T08:30:51"/>
    <n v="0.89449999999999996"/>
    <d v="1899-12-30T01:57:00"/>
    <n v="0.82599999999999996"/>
    <n v="3.5000000000000003E-2"/>
    <n v="46"/>
  </r>
  <r>
    <s v="Rohit Gupta (E005)"/>
    <x v="4"/>
    <d v="1899-12-30T09:05:12"/>
    <n v="0.9425"/>
    <d v="1899-12-30T01:45:00"/>
    <n v="0.88400000000000001"/>
    <n v="2.1999999999999999E-2"/>
    <n v="67"/>
  </r>
  <r>
    <s v="Anjali Mehta (E006)"/>
    <x v="5"/>
    <d v="1899-12-30T08:20:37"/>
    <n v="0.81630000000000003"/>
    <d v="1899-12-30T01:26:00"/>
    <n v="0.752"/>
    <n v="5.3999999999999999E-2"/>
    <n v="31"/>
  </r>
  <r>
    <s v="Sandeep Yadav (E007)"/>
    <x v="6"/>
    <d v="1899-12-30T07:48:45"/>
    <n v="0.74819999999999998"/>
    <d v="1899-12-30T01:46:00"/>
    <n v="0.69499999999999995"/>
    <n v="6.9000000000000006E-2"/>
    <n v="25"/>
  </r>
  <r>
    <s v="Pooja Sharma (E008)"/>
    <x v="7"/>
    <d v="1899-12-30T08:55:29"/>
    <n v="0.91359999999999997"/>
    <d v="1899-12-30T01:33:00"/>
    <n v="0.85299999999999998"/>
    <n v="2.9000000000000001E-2"/>
    <n v="55"/>
  </r>
  <r>
    <s v="Karan Singh (E009)"/>
    <x v="8"/>
    <d v="1899-12-30T09:10:18"/>
    <n v="0.96419999999999995"/>
    <d v="1899-12-30T02:00:00"/>
    <n v="0.90200000000000002"/>
    <n v="1.7999999999999999E-2"/>
    <n v="74"/>
  </r>
  <r>
    <s v="Vikas Jain (E010)"/>
    <x v="9"/>
    <d v="1899-12-30T07:40:33"/>
    <n v="0.6875"/>
    <d v="1899-12-30T01:13:00"/>
    <n v="0.63800000000000001"/>
    <n v="8.2000000000000003E-2"/>
    <n v="18"/>
  </r>
  <r>
    <s v="Sneha Gupta (E011)"/>
    <x v="10"/>
    <d v="1899-12-30T08:35:47"/>
    <n v="0.87519999999999998"/>
    <d v="1899-12-30T01:52:00"/>
    <n v="0.80100000000000005"/>
    <n v="0.04"/>
    <n v="48"/>
  </r>
  <r>
    <s v="Arjun Verma (E012)"/>
    <x v="11"/>
    <d v="1899-12-30T08:05:22"/>
    <n v="0.7984"/>
    <d v="1899-12-30T01:31:00"/>
    <n v="0.73599999999999999"/>
    <n v="5.7000000000000002E-2"/>
    <n v="29"/>
  </r>
  <r>
    <s v="Nisha Kapoor (E013)"/>
    <x v="12"/>
    <d v="1899-12-30T09:00:41"/>
    <n v="0.92779999999999996"/>
    <d v="1899-12-30T01:46:00"/>
    <n v="0.86899999999999999"/>
    <n v="2.7E-2"/>
    <n v="61"/>
  </r>
  <r>
    <s v="Manish Kumar (E014)"/>
    <x v="13"/>
    <d v="1899-12-30T07:52:19"/>
    <n v="0.73260000000000003"/>
    <d v="1899-12-30T01:31:00"/>
    <n v="0.67800000000000005"/>
    <n v="7.0999999999999994E-2"/>
    <n v="23"/>
  </r>
  <r>
    <s v="Riya Sharma (E015)"/>
    <x v="14"/>
    <d v="1899-12-30T08:40:56"/>
    <n v="0.88629999999999998"/>
    <d v="1899-12-30T02:02:00"/>
    <n v="0.82099999999999995"/>
    <n v="3.7999999999999999E-2"/>
    <n v="50"/>
  </r>
  <r>
    <s v="Akash Singh (E016)"/>
    <x v="15"/>
    <d v="1899-12-30T08:15:31"/>
    <n v="0.82450000000000001"/>
    <d v="1899-12-30T01:17:00"/>
    <n v="0.76400000000000001"/>
    <n v="5.1999999999999998E-2"/>
    <n v="35"/>
  </r>
  <r>
    <s v="Simran Kaur (E017)"/>
    <x v="16"/>
    <d v="1899-12-30T09:05:48"/>
    <n v="0.9385"/>
    <d v="1899-12-30T01:51:00"/>
    <n v="0.88100000000000001"/>
    <n v="2.4E-2"/>
    <n v="65"/>
  </r>
  <r>
    <s v="Deepak Yadav (E018)"/>
    <x v="17"/>
    <d v="1899-12-30T08:25:14"/>
    <n v="0.85270000000000001"/>
    <d v="1899-12-30T01:50:00"/>
    <n v="0.79300000000000004"/>
    <n v="4.4999999999999998E-2"/>
    <n v="42"/>
  </r>
  <r>
    <s v="Komal Verma (E019)"/>
    <x v="18"/>
    <d v="1899-12-30T07:58:39"/>
    <n v="0.77639999999999998"/>
    <d v="1899-12-30T01:35:00"/>
    <n v="0.71199999999999997"/>
    <n v="6.3E-2"/>
    <n v="28"/>
  </r>
  <r>
    <s v="Varun Gupta (E020)"/>
    <x v="19"/>
    <d v="1899-12-30T08:50:27"/>
    <n v="0.90739999999999998"/>
    <d v="1899-12-30T01:50:00"/>
    <n v="0.84599999999999997"/>
    <n v="3.2000000000000001E-2"/>
    <n v="58"/>
  </r>
  <r>
    <s v="Mohit Sharma (E021)"/>
    <x v="20"/>
    <d v="1899-12-30T08:18:42"/>
    <n v="0.80359999999999998"/>
    <d v="1899-12-30T01:37:00"/>
    <n v="0.748"/>
    <n v="5.6000000000000001E-2"/>
    <n v="33"/>
  </r>
  <r>
    <s v="Kavita Singh (E022)"/>
    <x v="21"/>
    <d v="1899-12-30T09:12:36"/>
    <n v="0.95179999999999998"/>
    <d v="1899-12-30T01:43:00"/>
    <n v="0.89700000000000002"/>
    <n v="0.02"/>
    <n v="70"/>
  </r>
  <r>
    <s v="Nitin Kumar (E023)"/>
    <x v="22"/>
    <d v="1899-12-30T07:45:51"/>
    <n v="0.70920000000000005"/>
    <d v="1899-12-30T01:34:00"/>
    <n v="0.65400000000000003"/>
    <n v="7.8E-2"/>
    <n v="20"/>
  </r>
  <r>
    <s v="Ayesha Khan (E024)"/>
    <x v="23"/>
    <d v="1899-12-30T08:38:09"/>
    <n v="0.88939999999999997"/>
    <d v="1899-12-30T02:02:00"/>
    <n v="0.82799999999999996"/>
    <n v="3.5999999999999997E-2"/>
    <n v="53"/>
  </r>
  <r>
    <s v="Rakesh Gupta (E025)"/>
    <x v="24"/>
    <d v="1899-12-30T08:10:28"/>
    <n v="0.81720000000000004"/>
    <d v="1899-12-30T01:20:00"/>
    <n v="0.75900000000000001"/>
    <n v="5.2999999999999999E-2"/>
    <n v="30"/>
  </r>
  <r>
    <s v="Shivani Verma (E026)"/>
    <x v="25"/>
    <d v="1899-12-30T08:45:36"/>
    <n v="0.86580000000000001"/>
    <d v="1899-12-30T01:47:00"/>
    <n v="0.80500000000000005"/>
    <n v="4.2999999999999997E-2"/>
    <n v="46"/>
  </r>
  <r>
    <s v="Gaurav Mehta (E027)"/>
    <x v="26"/>
    <d v="1899-12-30T09:02:17"/>
    <n v="0.9214"/>
    <d v="1899-12-30T01:25:00"/>
    <n v="0.86299999999999999"/>
    <n v="2.8000000000000001E-2"/>
    <n v="63"/>
  </r>
  <r>
    <s v="Divya Sharma (E028)"/>
    <x v="27"/>
    <d v="1899-12-30T07:50:44"/>
    <n v="0.7268"/>
    <d v="1899-12-30T02:07:00"/>
    <n v="0.67100000000000004"/>
    <n v="7.0000000000000007E-2"/>
    <n v="24"/>
  </r>
  <r>
    <s v="Ankit Yadav (E029)"/>
    <x v="28"/>
    <d v="1899-12-30T08:32:53"/>
    <n v="0.8921"/>
    <d v="1899-12-30T01:33:00"/>
    <n v="0.83399999999999996"/>
    <n v="3.4000000000000002E-2"/>
    <n v="51"/>
  </r>
  <r>
    <s v="Meena Kapoor (E030)"/>
    <x v="29"/>
    <d v="1899-12-30T08:22:31"/>
    <n v="0.8347"/>
    <d v="1899-12-30T01:31:00"/>
    <n v="0.77300000000000002"/>
    <n v="4.9000000000000002E-2"/>
    <n v="37"/>
  </r>
  <r>
    <s v="Sahil Jain (E031)"/>
    <x v="30"/>
    <d v="1899-12-30T09:08:25"/>
    <n v="0.96050000000000002"/>
    <d v="1899-12-30T01:48:00"/>
    <n v="0.90100000000000002"/>
    <n v="1.9E-2"/>
    <n v="72"/>
  </r>
  <r>
    <s v="Preeti Gupta (E032)"/>
    <x v="31"/>
    <d v="1899-12-30T08:05:48"/>
    <n v="0.76829999999999998"/>
    <d v="1899-12-30T01:51:00"/>
    <n v="0.70599999999999996"/>
    <n v="6.4000000000000001E-2"/>
    <n v="27"/>
  </r>
  <r>
    <s v="Rajesh Kumar (E033)"/>
    <x v="32"/>
    <d v="1899-12-30T08:47:19"/>
    <n v="0.90620000000000001"/>
    <d v="1899-12-30T01:21:00"/>
    <n v="0.84899999999999998"/>
    <n v="3.1E-2"/>
    <n v="59"/>
  </r>
  <r>
    <s v="Tanya Singh (E034)"/>
    <x v="33"/>
    <d v="1899-12-30T07:55:34"/>
    <n v="0.69840000000000002"/>
    <d v="1899-12-30T01:51:00"/>
    <n v="0.64200000000000002"/>
    <n v="7.5999999999999998E-2"/>
    <n v="22"/>
  </r>
  <r>
    <s v="Harsh Verma (E035)"/>
    <x v="34"/>
    <d v="1899-12-30T08:58:46"/>
    <n v="0.93420000000000003"/>
    <d v="1899-12-30T02:13:00"/>
    <n v="0.872"/>
    <n v="2.5000000000000001E-2"/>
    <n v="62"/>
  </r>
  <r>
    <s v="Muskan Sharma (E036)"/>
    <x v="35"/>
    <d v="1899-12-30T08:28:57"/>
    <n v="0.84160000000000001"/>
    <d v="1899-12-30T01:19:00"/>
    <n v="0.78100000000000003"/>
    <n v="4.7E-2"/>
    <n v="43"/>
  </r>
  <r>
    <s v="Ravi Yadav (E037)"/>
    <x v="36"/>
    <d v="1899-12-30T09:15:22"/>
    <n v="0.97119999999999995"/>
    <d v="1899-12-30T01:47:00"/>
    <n v="0.91300000000000003"/>
    <n v="1.4999999999999999E-2"/>
    <n v="78"/>
  </r>
  <r>
    <s v="Isha Gupta (E038)"/>
    <x v="37"/>
    <d v="1899-12-30T07:42:38"/>
    <n v="0.67949999999999999"/>
    <d v="1899-12-30T01:47:00"/>
    <n v="0.627"/>
    <n v="8.4000000000000005E-2"/>
    <n v="19"/>
  </r>
  <r>
    <s v="Varun Sharma (E039)"/>
    <x v="38"/>
    <d v="1899-12-30T08:36:15"/>
    <n v="0.8831"/>
    <d v="1899-12-30T01:22:00"/>
    <n v="0.82"/>
    <n v="3.7999999999999999E-2"/>
    <n v="54"/>
  </r>
  <r>
    <s v="Monika Singh (E040)"/>
    <x v="39"/>
    <d v="1899-12-30T08:12:49"/>
    <n v="0.80730000000000002"/>
    <d v="1899-12-30T02:04:00"/>
    <n v="0.745"/>
    <n v="5.5E-2"/>
    <n v="32"/>
  </r>
  <r>
    <s v="Abhishek Kumar (E041)"/>
    <x v="40"/>
    <d v="1899-12-30T08:52:07"/>
    <n v="0.91479999999999995"/>
    <d v="1899-12-30T01:34:00"/>
    <n v="0.85699999999999998"/>
    <n v="0.03"/>
    <n v="60"/>
  </r>
  <r>
    <s v="Shreya Mehta (E042)"/>
    <x v="41"/>
    <d v="1899-12-30T08:18:26"/>
    <n v="0.82940000000000003"/>
    <d v="1899-12-30T01:57:00"/>
    <n v="0.76800000000000002"/>
    <n v="0.05"/>
    <n v="36"/>
  </r>
  <r>
    <s v="Vivek Jain (E043)"/>
    <x v="42"/>
    <d v="1899-12-30T09:03:41"/>
    <n v="0.94669999999999999"/>
    <d v="1899-12-30T01:18:00"/>
    <n v="0.88900000000000001"/>
    <n v="2.3E-2"/>
    <n v="67"/>
  </r>
  <r>
    <s v="Payal Verma (E044)"/>
    <x v="43"/>
    <d v="1899-12-30T07:57:53"/>
    <n v="0.74360000000000004"/>
    <d v="1899-12-30T01:54:00"/>
    <n v="0.68899999999999995"/>
    <n v="6.8000000000000005E-2"/>
    <n v="25"/>
  </r>
  <r>
    <s v="Sachin Gupta (E045)"/>
    <x v="44"/>
    <d v="1899-12-30T08:41:32"/>
    <n v="0.87839999999999996"/>
    <d v="1899-12-30T01:33:00"/>
    <n v="0.81599999999999995"/>
    <n v="4.1000000000000002E-2"/>
    <n v="49"/>
  </r>
  <r>
    <s v="Neelam Sharma (E046)"/>
    <x v="45"/>
    <d v="1899-12-30T08:26:18"/>
    <n v="0.84909999999999997"/>
    <d v="1899-12-30T01:49:00"/>
    <n v="0.78600000000000003"/>
    <n v="4.8000000000000001E-2"/>
    <n v="40"/>
  </r>
  <r>
    <s v="Rohan Singh (E047)"/>
    <x v="46"/>
    <d v="1899-12-30T09:07:45"/>
    <n v="0.95320000000000005"/>
    <d v="1899-12-30T01:55:00"/>
    <n v="0.89400000000000002"/>
    <n v="2.1000000000000001E-2"/>
    <n v="71"/>
  </r>
  <r>
    <s v="Jyoti Kumar (E048)"/>
    <x v="47"/>
    <d v="1899-12-30T08:03:27"/>
    <n v="0.77180000000000004"/>
    <d v="1899-12-30T01:20:00"/>
    <n v="0.71"/>
    <n v="0.06"/>
    <n v="28"/>
  </r>
  <r>
    <s v="Ashish Yadav (E049)"/>
    <x v="48"/>
    <d v="1899-12-30T08:49:54"/>
    <n v="0.90129999999999999"/>
    <d v="1899-12-30T01:51:00"/>
    <n v="0.84199999999999997"/>
    <n v="3.3000000000000002E-2"/>
    <n v="57"/>
  </r>
  <r>
    <m/>
    <x v="49"/>
    <m/>
    <m/>
    <m/>
    <m/>
    <n v="4.2000000000000003E-2"/>
    <n v="45"/>
  </r>
  <r>
    <m/>
    <x v="49"/>
    <m/>
    <m/>
    <m/>
    <m/>
    <n v="2.5999999999999999E-2"/>
    <n v="64"/>
  </r>
  <r>
    <m/>
    <x v="49"/>
    <m/>
    <m/>
    <m/>
    <m/>
    <n v="5.2999999999999999E-2"/>
    <n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E781F-9D6F-46EC-B8F5-8DB2AD477FB2}" name="PivotTable12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J3:K8" firstHeaderRow="1" firstDataRow="1" firstDataCol="1"/>
  <pivotFields count="8">
    <pivotField showAll="0"/>
    <pivotField axis="axisRow" showAll="0" measureFilter="1">
      <items count="51">
        <item x="40"/>
        <item x="15"/>
        <item x="2"/>
        <item x="5"/>
        <item x="28"/>
        <item x="11"/>
        <item x="48"/>
        <item x="23"/>
        <item x="17"/>
        <item x="27"/>
        <item x="26"/>
        <item x="34"/>
        <item x="37"/>
        <item x="47"/>
        <item x="8"/>
        <item x="21"/>
        <item x="18"/>
        <item x="13"/>
        <item x="29"/>
        <item x="20"/>
        <item x="39"/>
        <item x="35"/>
        <item x="45"/>
        <item x="3"/>
        <item x="12"/>
        <item x="22"/>
        <item x="43"/>
        <item x="7"/>
        <item x="31"/>
        <item x="1"/>
        <item x="0"/>
        <item x="32"/>
        <item x="24"/>
        <item x="36"/>
        <item x="14"/>
        <item x="46"/>
        <item x="4"/>
        <item x="44"/>
        <item x="30"/>
        <item x="6"/>
        <item x="25"/>
        <item x="41"/>
        <item x="16"/>
        <item x="10"/>
        <item x="33"/>
        <item x="19"/>
        <item x="38"/>
        <item x="9"/>
        <item x="42"/>
        <item x="49"/>
        <item t="default"/>
      </items>
    </pivotField>
    <pivotField showAll="0"/>
    <pivotField showAll="0"/>
    <pivotField showAll="0"/>
    <pivotField showAll="0"/>
    <pivotField dataField="1" numFmtId="10" showAll="0"/>
    <pivotField showAll="0"/>
  </pivotFields>
  <rowFields count="1">
    <field x="1"/>
  </rowFields>
  <rowItems count="5">
    <i>
      <x v="12"/>
    </i>
    <i>
      <x v="25"/>
    </i>
    <i>
      <x v="44"/>
    </i>
    <i>
      <x v="47"/>
    </i>
    <i>
      <x v="49"/>
    </i>
  </rowItems>
  <colItems count="1">
    <i/>
  </colItems>
  <dataFields count="1">
    <dataField name=" Not Working_during call " fld="6" baseField="1" baseItem="12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5B5B88-F52F-4732-8420-1E9EACE38483}" name="PivotTable4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4">
  <location ref="G3:H8" firstHeaderRow="1" firstDataRow="1" firstDataCol="1"/>
  <pivotFields count="6">
    <pivotField showAll="0"/>
    <pivotField axis="axisRow" showAll="0" measureFilter="1">
      <items count="50">
        <item x="40"/>
        <item x="15"/>
        <item x="2"/>
        <item x="5"/>
        <item x="28"/>
        <item x="11"/>
        <item x="48"/>
        <item x="23"/>
        <item x="17"/>
        <item x="27"/>
        <item x="26"/>
        <item x="34"/>
        <item x="37"/>
        <item x="47"/>
        <item x="8"/>
        <item x="21"/>
        <item x="18"/>
        <item x="13"/>
        <item x="29"/>
        <item x="20"/>
        <item x="39"/>
        <item x="35"/>
        <item x="45"/>
        <item x="3"/>
        <item x="12"/>
        <item x="22"/>
        <item x="43"/>
        <item x="7"/>
        <item x="31"/>
        <item x="1"/>
        <item x="0"/>
        <item x="32"/>
        <item x="24"/>
        <item x="36"/>
        <item x="14"/>
        <item x="46"/>
        <item x="4"/>
        <item x="44"/>
        <item x="30"/>
        <item x="6"/>
        <item x="25"/>
        <item x="41"/>
        <item x="16"/>
        <item x="10"/>
        <item x="33"/>
        <item x="19"/>
        <item x="38"/>
        <item x="9"/>
        <item x="42"/>
        <item t="default"/>
      </items>
    </pivotField>
    <pivotField numFmtId="164" showAll="0"/>
    <pivotField numFmtId="10" showAll="0"/>
    <pivotField dataField="1" numFmtId="164" showAll="0"/>
    <pivotField showAll="0"/>
  </pivotFields>
  <rowFields count="1">
    <field x="1"/>
  </rowFields>
  <rowItems count="5">
    <i>
      <x v="7"/>
    </i>
    <i>
      <x v="9"/>
    </i>
    <i>
      <x v="11"/>
    </i>
    <i>
      <x v="20"/>
    </i>
    <i>
      <x v="34"/>
    </i>
  </rowItems>
  <colItems count="1">
    <i/>
  </colItems>
  <dataFields count="1">
    <dataField name="Sum of total break taken " fld="4" baseField="1" baseItem="0" numFmtId="164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140AE-2EB8-43BF-BA80-2AB97D688437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D3:E8" firstHeaderRow="1" firstDataRow="1" firstDataCol="1"/>
  <pivotFields count="7">
    <pivotField showAll="0"/>
    <pivotField axis="axisRow" showAll="0" measureFilter="1">
      <items count="50">
        <item x="40"/>
        <item x="15"/>
        <item x="2"/>
        <item x="5"/>
        <item x="28"/>
        <item x="11"/>
        <item x="48"/>
        <item x="23"/>
        <item x="17"/>
        <item x="27"/>
        <item x="26"/>
        <item x="34"/>
        <item x="37"/>
        <item x="47"/>
        <item x="8"/>
        <item x="21"/>
        <item x="18"/>
        <item x="13"/>
        <item x="29"/>
        <item x="20"/>
        <item x="39"/>
        <item x="35"/>
        <item x="45"/>
        <item x="3"/>
        <item x="12"/>
        <item x="22"/>
        <item x="43"/>
        <item x="7"/>
        <item x="31"/>
        <item x="1"/>
        <item x="0"/>
        <item x="32"/>
        <item x="24"/>
        <item x="36"/>
        <item x="14"/>
        <item x="46"/>
        <item x="4"/>
        <item x="44"/>
        <item x="30"/>
        <item x="6"/>
        <item x="25"/>
        <item x="41"/>
        <item x="16"/>
        <item x="10"/>
        <item x="33"/>
        <item x="19"/>
        <item x="38"/>
        <item x="9"/>
        <item x="42"/>
        <item t="default"/>
      </items>
    </pivotField>
    <pivotField numFmtId="164" showAll="0"/>
    <pivotField numFmtId="10" showAll="0"/>
    <pivotField numFmtId="164" showAll="0"/>
    <pivotField showAll="0"/>
    <pivotField dataField="1" numFmtId="10" showAll="0"/>
  </pivotFields>
  <rowFields count="1">
    <field x="1"/>
  </rowFields>
  <rowItems count="5">
    <i>
      <x v="14"/>
    </i>
    <i>
      <x v="15"/>
    </i>
    <i>
      <x v="33"/>
    </i>
    <i>
      <x v="35"/>
    </i>
    <i>
      <x v="38"/>
    </i>
  </rowItems>
  <colItems count="1">
    <i/>
  </colItems>
  <dataFields count="1">
    <dataField name="Attended_Calls_percentage " fld="6" baseField="1" baseItem="14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D26E6-FC1D-4C27-BC70-9577CE5C4D96}" name="PivotTable1" cacheId="0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 chartFormat="2">
  <location ref="A3:B8" firstHeaderRow="1" firstDataRow="1" firstDataCol="1"/>
  <pivotFields count="6">
    <pivotField showAll="0"/>
    <pivotField axis="axisRow" showAll="0" measureFilter="1">
      <items count="50">
        <item x="40"/>
        <item x="15"/>
        <item x="2"/>
        <item x="5"/>
        <item x="28"/>
        <item x="11"/>
        <item x="48"/>
        <item x="23"/>
        <item x="17"/>
        <item x="27"/>
        <item x="26"/>
        <item x="34"/>
        <item x="37"/>
        <item x="47"/>
        <item x="8"/>
        <item x="21"/>
        <item x="18"/>
        <item x="13"/>
        <item x="29"/>
        <item x="20"/>
        <item x="39"/>
        <item x="35"/>
        <item x="45"/>
        <item x="3"/>
        <item x="12"/>
        <item x="22"/>
        <item x="43"/>
        <item x="7"/>
        <item x="31"/>
        <item x="1"/>
        <item x="0"/>
        <item x="32"/>
        <item x="24"/>
        <item x="36"/>
        <item x="14"/>
        <item x="46"/>
        <item x="4"/>
        <item x="44"/>
        <item x="30"/>
        <item x="6"/>
        <item x="25"/>
        <item x="41"/>
        <item x="16"/>
        <item x="10"/>
        <item x="33"/>
        <item x="19"/>
        <item x="38"/>
        <item x="9"/>
        <item x="42"/>
        <item t="default"/>
      </items>
    </pivotField>
    <pivotField dataField="1" numFmtId="164" showAll="0"/>
    <pivotField numFmtId="10" showAll="0"/>
    <pivotField numFmtId="164" showAll="0"/>
    <pivotField showAll="0"/>
  </pivotFields>
  <rowFields count="1">
    <field x="1"/>
  </rowFields>
  <rowItems count="5">
    <i>
      <x v="14"/>
    </i>
    <i>
      <x v="15"/>
    </i>
    <i>
      <x v="33"/>
    </i>
    <i>
      <x v="35"/>
    </i>
    <i>
      <x v="38"/>
    </i>
  </rowItems>
  <colItems count="1">
    <i/>
  </colItems>
  <dataFields count="1">
    <dataField name="Total_number of working  hours " fld="2" baseField="1" baseItem="24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AED3-3C03-4694-AF6A-E297BDB1270C}">
  <sheetPr codeName="Sheet2"/>
  <dimension ref="A1:I52"/>
  <sheetViews>
    <sheetView workbookViewId="0">
      <selection activeCell="B1" sqref="B1:I51"/>
    </sheetView>
  </sheetViews>
  <sheetFormatPr defaultRowHeight="15" x14ac:dyDescent="0.25"/>
  <cols>
    <col min="1" max="1" width="21.7109375" bestFit="1" customWidth="1"/>
    <col min="2" max="2" width="8.140625" bestFit="1" customWidth="1"/>
    <col min="3" max="3" width="9.42578125" bestFit="1" customWidth="1"/>
    <col min="4" max="4" width="8.140625" bestFit="1" customWidth="1"/>
    <col min="5" max="5" width="8.5703125" bestFit="1" customWidth="1"/>
    <col min="6" max="6" width="15.85546875" bestFit="1" customWidth="1"/>
    <col min="7" max="7" width="11.42578125" bestFit="1" customWidth="1"/>
    <col min="8" max="8" width="16.7109375" bestFit="1" customWidth="1"/>
    <col min="9" max="9" width="13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58</v>
      </c>
    </row>
    <row r="2" spans="1:9" x14ac:dyDescent="0.25">
      <c r="A2" t="s">
        <v>8</v>
      </c>
      <c r="B2" s="1">
        <v>2.0833333333333332E-2</v>
      </c>
      <c r="C2" s="1">
        <v>6.9444444444444441E-3</v>
      </c>
      <c r="D2" s="1">
        <v>1.3888888888888888E-2</v>
      </c>
      <c r="E2" s="1">
        <v>1.0416666666666666E-2</v>
      </c>
      <c r="F2" s="1">
        <v>3.472222222222222E-3</v>
      </c>
      <c r="G2" s="1">
        <v>6.9444444444444441E-3</v>
      </c>
      <c r="H2" s="1">
        <v>6.25E-2</v>
      </c>
      <c r="I2" s="1">
        <v>6.9444444444444441E-3</v>
      </c>
    </row>
    <row r="3" spans="1:9" x14ac:dyDescent="0.25">
      <c r="A3" t="s">
        <v>9</v>
      </c>
      <c r="B3" s="1">
        <v>2.4305555555555556E-2</v>
      </c>
      <c r="C3" s="1">
        <v>5.5555555555555558E-3</v>
      </c>
      <c r="D3" s="1">
        <v>1.7361111111111112E-2</v>
      </c>
      <c r="E3" s="1">
        <v>1.3888888888888888E-2</v>
      </c>
      <c r="F3" s="1">
        <v>2.0833333333333333E-3</v>
      </c>
      <c r="G3" s="1">
        <v>8.3333333333333332E-3</v>
      </c>
      <c r="H3" s="1">
        <v>7.1527777777777773E-2</v>
      </c>
      <c r="I3" s="1">
        <v>5.5555555555555558E-3</v>
      </c>
    </row>
    <row r="4" spans="1:9" x14ac:dyDescent="0.25">
      <c r="A4" t="s">
        <v>10</v>
      </c>
      <c r="B4" s="1">
        <v>1.9444444444444445E-2</v>
      </c>
      <c r="C4" s="1">
        <v>8.3333333333333332E-3</v>
      </c>
      <c r="D4" s="1">
        <v>1.0416666666666666E-2</v>
      </c>
      <c r="E4" s="1">
        <v>6.9444444444444441E-3</v>
      </c>
      <c r="F4" s="1">
        <v>5.5555555555555558E-3</v>
      </c>
      <c r="G4" s="1">
        <v>5.5555555555555558E-3</v>
      </c>
      <c r="H4" s="1">
        <v>5.6250000000000001E-2</v>
      </c>
      <c r="I4" s="1">
        <v>8.3333333333333332E-3</v>
      </c>
    </row>
    <row r="5" spans="1:9" x14ac:dyDescent="0.25">
      <c r="A5" t="s">
        <v>11</v>
      </c>
      <c r="B5" s="1">
        <v>2.7777777777777776E-2</v>
      </c>
      <c r="C5" s="1">
        <v>1.0416666666666666E-2</v>
      </c>
      <c r="D5" s="1">
        <v>2.0833333333333332E-2</v>
      </c>
      <c r="E5" s="1">
        <v>1.2500000000000001E-2</v>
      </c>
      <c r="F5" s="1">
        <v>2.7777777777777779E-3</v>
      </c>
      <c r="G5" s="1">
        <v>6.9444444444444441E-3</v>
      </c>
      <c r="H5" s="1">
        <v>8.1250000000000003E-2</v>
      </c>
      <c r="I5" s="1">
        <v>4.8611111111111112E-3</v>
      </c>
    </row>
    <row r="6" spans="1:9" x14ac:dyDescent="0.25">
      <c r="A6" t="s">
        <v>12</v>
      </c>
      <c r="B6" s="1">
        <v>2.2222222222222223E-2</v>
      </c>
      <c r="C6" s="1">
        <v>4.8611111111111112E-3</v>
      </c>
      <c r="D6" s="1">
        <v>1.3888888888888888E-2</v>
      </c>
      <c r="E6" s="1">
        <v>1.7361111111111112E-2</v>
      </c>
      <c r="F6" s="1">
        <v>4.1666666666666666E-3</v>
      </c>
      <c r="G6" s="1">
        <v>1.0416666666666666E-2</v>
      </c>
      <c r="H6" s="1">
        <v>7.2916666666666671E-2</v>
      </c>
      <c r="I6" s="1">
        <v>6.9444444444444441E-3</v>
      </c>
    </row>
    <row r="7" spans="1:9" x14ac:dyDescent="0.25">
      <c r="A7" t="s">
        <v>13</v>
      </c>
      <c r="B7" s="1">
        <v>1.7361111111111112E-2</v>
      </c>
      <c r="C7" s="1">
        <v>6.9444444444444441E-3</v>
      </c>
      <c r="D7" s="1">
        <v>1.9444444444444445E-2</v>
      </c>
      <c r="E7" s="1">
        <v>8.3333333333333332E-3</v>
      </c>
      <c r="F7" s="1">
        <v>1.3888888888888889E-3</v>
      </c>
      <c r="G7" s="1">
        <v>6.2500000000000003E-3</v>
      </c>
      <c r="H7" s="1">
        <v>5.9722222222222225E-2</v>
      </c>
      <c r="I7" s="1">
        <v>6.2500000000000003E-3</v>
      </c>
    </row>
    <row r="8" spans="1:9" x14ac:dyDescent="0.25">
      <c r="A8" t="s">
        <v>14</v>
      </c>
      <c r="B8" s="1">
        <v>2.6388888888888889E-2</v>
      </c>
      <c r="C8" s="1">
        <v>9.7222222222222224E-3</v>
      </c>
      <c r="D8" s="1">
        <v>1.2500000000000001E-2</v>
      </c>
      <c r="E8" s="1">
        <v>1.1111111111111112E-2</v>
      </c>
      <c r="F8" s="1">
        <v>6.2500000000000003E-3</v>
      </c>
      <c r="G8" s="1">
        <v>7.6388888888888886E-3</v>
      </c>
      <c r="H8" s="1">
        <v>7.3611111111111113E-2</v>
      </c>
      <c r="I8" s="1">
        <v>7.6388888888888886E-3</v>
      </c>
    </row>
    <row r="9" spans="1:9" x14ac:dyDescent="0.25">
      <c r="A9" t="s">
        <v>15</v>
      </c>
      <c r="B9" s="1">
        <v>2.0833333333333332E-2</v>
      </c>
      <c r="C9" s="1">
        <v>6.2500000000000003E-3</v>
      </c>
      <c r="D9" s="1">
        <v>1.5277777777777777E-2</v>
      </c>
      <c r="E9" s="1">
        <v>9.7222222222222224E-3</v>
      </c>
      <c r="F9" s="1">
        <v>3.472222222222222E-3</v>
      </c>
      <c r="G9" s="1">
        <v>9.0277777777777769E-3</v>
      </c>
      <c r="H9" s="1">
        <v>6.458333333333334E-2</v>
      </c>
      <c r="I9" s="1">
        <v>5.5555555555555558E-3</v>
      </c>
    </row>
    <row r="10" spans="1:9" x14ac:dyDescent="0.25">
      <c r="A10" t="s">
        <v>16</v>
      </c>
      <c r="B10" s="1">
        <v>2.9166666666666667E-2</v>
      </c>
      <c r="C10" s="1">
        <v>7.6388888888888886E-3</v>
      </c>
      <c r="D10" s="1">
        <v>2.2222222222222223E-2</v>
      </c>
      <c r="E10" s="1">
        <v>1.3888888888888888E-2</v>
      </c>
      <c r="F10" s="1">
        <v>4.8611111111111112E-3</v>
      </c>
      <c r="G10" s="1">
        <v>5.5555555555555558E-3</v>
      </c>
      <c r="H10" s="1">
        <v>8.3333333333333329E-2</v>
      </c>
      <c r="I10" s="1">
        <v>9.0277777777777769E-3</v>
      </c>
    </row>
    <row r="11" spans="1:9" x14ac:dyDescent="0.25">
      <c r="A11" t="s">
        <v>17</v>
      </c>
      <c r="B11" s="1">
        <v>1.8749999999999999E-2</v>
      </c>
      <c r="C11" s="1">
        <v>4.1666666666666666E-3</v>
      </c>
      <c r="D11" s="1">
        <v>1.1111111111111112E-2</v>
      </c>
      <c r="E11" s="1">
        <v>7.6388888888888886E-3</v>
      </c>
      <c r="F11" s="1">
        <v>2.0833333333333333E-3</v>
      </c>
      <c r="G11" s="1">
        <v>6.9444444444444441E-3</v>
      </c>
      <c r="H11" s="1">
        <v>5.0694444444444445E-2</v>
      </c>
      <c r="I11" s="1">
        <v>4.1666666666666666E-3</v>
      </c>
    </row>
    <row r="12" spans="1:9" x14ac:dyDescent="0.25">
      <c r="A12" t="s">
        <v>18</v>
      </c>
      <c r="B12" s="1">
        <v>2.361111111111111E-2</v>
      </c>
      <c r="C12" s="1">
        <v>9.0277777777777769E-3</v>
      </c>
      <c r="D12" s="1">
        <v>1.6666666666666666E-2</v>
      </c>
      <c r="E12" s="1">
        <v>1.1805555555555555E-2</v>
      </c>
      <c r="F12" s="1">
        <v>6.9444444444444441E-3</v>
      </c>
      <c r="G12" s="1">
        <v>9.7222222222222224E-3</v>
      </c>
      <c r="H12" s="1">
        <v>7.7777777777777779E-2</v>
      </c>
      <c r="I12" s="1">
        <v>6.9444444444444441E-3</v>
      </c>
    </row>
    <row r="13" spans="1:9" x14ac:dyDescent="0.25">
      <c r="A13" t="s">
        <v>19</v>
      </c>
      <c r="B13" s="1">
        <v>2.013888888888889E-2</v>
      </c>
      <c r="C13" s="1">
        <v>5.5555555555555558E-3</v>
      </c>
      <c r="D13" s="1">
        <v>1.3194444444444444E-2</v>
      </c>
      <c r="E13" s="1">
        <v>1.5277777777777777E-2</v>
      </c>
      <c r="F13" s="1">
        <v>2.7777777777777779E-3</v>
      </c>
      <c r="G13" s="1">
        <v>6.2500000000000003E-3</v>
      </c>
      <c r="H13" s="1">
        <v>6.3194444444444442E-2</v>
      </c>
      <c r="I13" s="1">
        <v>6.2500000000000003E-3</v>
      </c>
    </row>
    <row r="14" spans="1:9" x14ac:dyDescent="0.25">
      <c r="A14" t="s">
        <v>20</v>
      </c>
      <c r="B14" s="1">
        <v>2.5000000000000001E-2</v>
      </c>
      <c r="C14" s="1">
        <v>6.9444444444444441E-3</v>
      </c>
      <c r="D14" s="1">
        <v>1.8749999999999999E-2</v>
      </c>
      <c r="E14" s="1">
        <v>1.0416666666666666E-2</v>
      </c>
      <c r="F14" s="1">
        <v>4.1666666666666666E-3</v>
      </c>
      <c r="G14" s="1">
        <v>8.3333333333333332E-3</v>
      </c>
      <c r="H14" s="1">
        <v>7.3611111111111113E-2</v>
      </c>
      <c r="I14" s="1">
        <v>8.3333333333333332E-3</v>
      </c>
    </row>
    <row r="15" spans="1:9" x14ac:dyDescent="0.25">
      <c r="A15" t="s">
        <v>21</v>
      </c>
      <c r="B15" s="1">
        <v>2.1527777777777778E-2</v>
      </c>
      <c r="C15" s="1">
        <v>1.1111111111111112E-2</v>
      </c>
      <c r="D15" s="1">
        <v>1.4583333333333334E-2</v>
      </c>
      <c r="E15" s="1">
        <v>9.0277777777777769E-3</v>
      </c>
      <c r="F15" s="1">
        <v>1.3888888888888889E-3</v>
      </c>
      <c r="G15" s="1">
        <v>5.5555555555555558E-3</v>
      </c>
      <c r="H15" s="1">
        <v>6.3194444444444442E-2</v>
      </c>
      <c r="I15" s="1">
        <v>4.8611111111111112E-3</v>
      </c>
    </row>
    <row r="16" spans="1:9" x14ac:dyDescent="0.25">
      <c r="A16" t="s">
        <v>22</v>
      </c>
      <c r="B16" s="1">
        <v>2.7083333333333334E-2</v>
      </c>
      <c r="C16" s="1">
        <v>6.2500000000000003E-3</v>
      </c>
      <c r="D16" s="1">
        <v>2.013888888888889E-2</v>
      </c>
      <c r="E16" s="1">
        <v>1.3194444444444444E-2</v>
      </c>
      <c r="F16" s="1">
        <v>7.6388888888888886E-3</v>
      </c>
      <c r="G16" s="1">
        <v>1.0416666666666666E-2</v>
      </c>
      <c r="H16" s="1">
        <v>8.4722222222222227E-2</v>
      </c>
      <c r="I16" s="1">
        <v>7.6388888888888886E-3</v>
      </c>
    </row>
    <row r="17" spans="1:9" x14ac:dyDescent="0.25">
      <c r="A17" t="s">
        <v>23</v>
      </c>
      <c r="B17" s="1">
        <v>1.8055555555555554E-2</v>
      </c>
      <c r="C17" s="1">
        <v>4.8611111111111112E-3</v>
      </c>
      <c r="D17" s="1">
        <v>1.1805555555555555E-2</v>
      </c>
      <c r="E17" s="1">
        <v>8.3333333333333332E-3</v>
      </c>
      <c r="F17" s="1">
        <v>3.472222222222222E-3</v>
      </c>
      <c r="G17" s="1">
        <v>6.9444444444444441E-3</v>
      </c>
      <c r="H17" s="1">
        <v>5.347222222222222E-2</v>
      </c>
      <c r="I17" s="1">
        <v>5.5555555555555558E-3</v>
      </c>
    </row>
    <row r="18" spans="1:9" x14ac:dyDescent="0.25">
      <c r="A18" t="s">
        <v>24</v>
      </c>
      <c r="B18" s="1">
        <v>2.2916666666666665E-2</v>
      </c>
      <c r="C18" s="1">
        <v>8.3333333333333332E-3</v>
      </c>
      <c r="D18" s="1">
        <v>1.8055555555555554E-2</v>
      </c>
      <c r="E18" s="1">
        <v>1.4583333333333334E-2</v>
      </c>
      <c r="F18" s="1">
        <v>5.5555555555555558E-3</v>
      </c>
      <c r="G18" s="1">
        <v>7.6388888888888886E-3</v>
      </c>
      <c r="H18" s="1">
        <v>7.7083333333333337E-2</v>
      </c>
      <c r="I18" s="1">
        <v>6.9444444444444441E-3</v>
      </c>
    </row>
    <row r="19" spans="1:9" x14ac:dyDescent="0.25">
      <c r="A19" t="s">
        <v>25</v>
      </c>
      <c r="B19" s="1">
        <v>2.8472222222222222E-2</v>
      </c>
      <c r="C19" s="1">
        <v>1.0416666666666666E-2</v>
      </c>
      <c r="D19" s="1">
        <v>1.3888888888888888E-2</v>
      </c>
      <c r="E19" s="1">
        <v>1.1111111111111112E-2</v>
      </c>
      <c r="F19" s="1">
        <v>6.2500000000000003E-3</v>
      </c>
      <c r="G19" s="1">
        <v>6.2500000000000003E-3</v>
      </c>
      <c r="H19" s="1">
        <v>7.6388888888888895E-2</v>
      </c>
      <c r="I19" s="1">
        <v>9.7222222222222224E-3</v>
      </c>
    </row>
    <row r="20" spans="1:9" x14ac:dyDescent="0.25">
      <c r="A20" t="s">
        <v>26</v>
      </c>
      <c r="B20" s="1">
        <v>2.0833333333333332E-2</v>
      </c>
      <c r="C20" s="1">
        <v>7.6388888888888886E-3</v>
      </c>
      <c r="D20" s="1">
        <v>1.5972222222222221E-2</v>
      </c>
      <c r="E20" s="1">
        <v>9.7222222222222224E-3</v>
      </c>
      <c r="F20" s="1">
        <v>2.7777777777777779E-3</v>
      </c>
      <c r="G20" s="1">
        <v>9.0277777777777769E-3</v>
      </c>
      <c r="H20" s="1">
        <v>6.5972222222222224E-2</v>
      </c>
      <c r="I20" s="1">
        <v>6.2500000000000003E-3</v>
      </c>
    </row>
    <row r="21" spans="1:9" x14ac:dyDescent="0.25">
      <c r="A21" t="s">
        <v>27</v>
      </c>
      <c r="B21" s="1">
        <v>2.5694444444444443E-2</v>
      </c>
      <c r="C21" s="1">
        <v>5.5555555555555558E-3</v>
      </c>
      <c r="D21" s="1">
        <v>2.1527777777777778E-2</v>
      </c>
      <c r="E21" s="1">
        <v>1.2500000000000001E-2</v>
      </c>
      <c r="F21" s="1">
        <v>4.1666666666666666E-3</v>
      </c>
      <c r="G21" s="1">
        <v>6.9444444444444441E-3</v>
      </c>
      <c r="H21" s="1">
        <v>7.6388888888888895E-2</v>
      </c>
      <c r="I21" s="1">
        <v>8.3333333333333332E-3</v>
      </c>
    </row>
    <row r="22" spans="1:9" x14ac:dyDescent="0.25">
      <c r="A22" t="s">
        <v>28</v>
      </c>
      <c r="B22" s="1">
        <v>2.2222222222222223E-2</v>
      </c>
      <c r="C22" s="1">
        <v>6.9444444444444441E-3</v>
      </c>
      <c r="D22" s="1">
        <v>1.5277777777777777E-2</v>
      </c>
      <c r="E22" s="1">
        <v>1.1111111111111112E-2</v>
      </c>
      <c r="F22" s="1">
        <v>3.472222222222222E-3</v>
      </c>
      <c r="G22" s="1">
        <v>8.3333333333333332E-3</v>
      </c>
      <c r="H22" s="1">
        <v>6.7361111111111108E-2</v>
      </c>
      <c r="I22" s="1">
        <v>5.5555555555555558E-3</v>
      </c>
    </row>
    <row r="23" spans="1:9" x14ac:dyDescent="0.25">
      <c r="A23" t="s">
        <v>29</v>
      </c>
      <c r="B23" s="1">
        <v>2.4305555555555556E-2</v>
      </c>
      <c r="C23" s="1">
        <v>9.0277777777777769E-3</v>
      </c>
      <c r="D23" s="1">
        <v>1.2500000000000001E-2</v>
      </c>
      <c r="E23" s="1">
        <v>1.4583333333333334E-2</v>
      </c>
      <c r="F23" s="1">
        <v>4.8611111111111112E-3</v>
      </c>
      <c r="G23" s="1">
        <v>6.2500000000000003E-3</v>
      </c>
      <c r="H23" s="1">
        <v>7.1527777777777773E-2</v>
      </c>
      <c r="I23" s="1">
        <v>7.6388888888888886E-3</v>
      </c>
    </row>
    <row r="24" spans="1:9" x14ac:dyDescent="0.25">
      <c r="A24" t="s">
        <v>30</v>
      </c>
      <c r="B24" s="1">
        <v>2.013888888888889E-2</v>
      </c>
      <c r="C24" s="1">
        <v>6.2500000000000003E-3</v>
      </c>
      <c r="D24" s="1">
        <v>1.8055555555555554E-2</v>
      </c>
      <c r="E24" s="1">
        <v>1.0416666666666666E-2</v>
      </c>
      <c r="F24" s="1">
        <v>2.7777777777777779E-3</v>
      </c>
      <c r="G24" s="1">
        <v>7.6388888888888886E-3</v>
      </c>
      <c r="H24" s="1">
        <v>6.5277777777777782E-2</v>
      </c>
      <c r="I24" s="1">
        <v>4.8611111111111112E-3</v>
      </c>
    </row>
    <row r="25" spans="1:9" x14ac:dyDescent="0.25">
      <c r="A25" t="s">
        <v>31</v>
      </c>
      <c r="B25" s="1">
        <v>2.6388888888888889E-2</v>
      </c>
      <c r="C25" s="1">
        <v>9.7222222222222224E-3</v>
      </c>
      <c r="D25" s="1">
        <v>2.0833333333333332E-2</v>
      </c>
      <c r="E25" s="1">
        <v>1.3194444444444444E-2</v>
      </c>
      <c r="F25" s="1">
        <v>5.5555555555555558E-3</v>
      </c>
      <c r="G25" s="1">
        <v>9.0277777777777769E-3</v>
      </c>
      <c r="H25" s="1">
        <v>8.4722222222222227E-2</v>
      </c>
      <c r="I25" s="1">
        <v>9.0277777777777769E-3</v>
      </c>
    </row>
    <row r="26" spans="1:9" x14ac:dyDescent="0.25">
      <c r="A26" t="s">
        <v>32</v>
      </c>
      <c r="B26" s="1">
        <v>2.1527777777777778E-2</v>
      </c>
      <c r="C26" s="1">
        <v>4.8611111111111112E-3</v>
      </c>
      <c r="D26" s="1">
        <v>1.1805555555555555E-2</v>
      </c>
      <c r="E26" s="1">
        <v>8.3333333333333332E-3</v>
      </c>
      <c r="F26" s="1">
        <v>2.0833333333333333E-3</v>
      </c>
      <c r="G26" s="1">
        <v>6.9444444444444441E-3</v>
      </c>
      <c r="H26" s="1">
        <v>5.5555555555555552E-2</v>
      </c>
      <c r="I26" s="1">
        <v>6.2500000000000003E-3</v>
      </c>
    </row>
    <row r="27" spans="1:9" x14ac:dyDescent="0.25">
      <c r="A27" t="s">
        <v>33</v>
      </c>
      <c r="B27" s="1">
        <v>2.5000000000000001E-2</v>
      </c>
      <c r="C27" s="1">
        <v>7.6388888888888886E-3</v>
      </c>
      <c r="D27" s="1">
        <v>1.6666666666666666E-2</v>
      </c>
      <c r="E27" s="1">
        <v>1.2500000000000001E-2</v>
      </c>
      <c r="F27" s="1">
        <v>4.1666666666666666E-3</v>
      </c>
      <c r="G27" s="1">
        <v>8.3333333333333332E-3</v>
      </c>
      <c r="H27" s="1">
        <v>7.4305555555555555E-2</v>
      </c>
      <c r="I27" s="1">
        <v>6.9444444444444441E-3</v>
      </c>
    </row>
    <row r="28" spans="1:9" x14ac:dyDescent="0.25">
      <c r="A28" t="s">
        <v>34</v>
      </c>
      <c r="B28" s="1">
        <v>1.9444444444444445E-2</v>
      </c>
      <c r="C28" s="1">
        <v>5.5555555555555558E-3</v>
      </c>
      <c r="D28" s="1">
        <v>1.4583333333333334E-2</v>
      </c>
      <c r="E28" s="1">
        <v>9.7222222222222224E-3</v>
      </c>
      <c r="F28" s="1">
        <v>3.472222222222222E-3</v>
      </c>
      <c r="G28" s="1">
        <v>6.2500000000000003E-3</v>
      </c>
      <c r="H28" s="1">
        <v>5.9027777777777776E-2</v>
      </c>
      <c r="I28" s="1">
        <v>5.5555555555555558E-3</v>
      </c>
    </row>
    <row r="29" spans="1:9" x14ac:dyDescent="0.25">
      <c r="A29" t="s">
        <v>35</v>
      </c>
      <c r="B29" s="1">
        <v>2.7777777777777776E-2</v>
      </c>
      <c r="C29" s="1">
        <v>1.0416666666666666E-2</v>
      </c>
      <c r="D29" s="1">
        <v>2.013888888888889E-2</v>
      </c>
      <c r="E29" s="1">
        <v>1.5277777777777777E-2</v>
      </c>
      <c r="F29" s="1">
        <v>4.8611111111111112E-3</v>
      </c>
      <c r="G29" s="1">
        <v>9.7222222222222224E-3</v>
      </c>
      <c r="H29" s="1">
        <v>8.819444444444445E-2</v>
      </c>
      <c r="I29" s="1">
        <v>8.3333333333333332E-3</v>
      </c>
    </row>
    <row r="30" spans="1:9" x14ac:dyDescent="0.25">
      <c r="A30" t="s">
        <v>36</v>
      </c>
      <c r="B30" s="1">
        <v>2.2916666666666665E-2</v>
      </c>
      <c r="C30" s="1">
        <v>6.9444444444444441E-3</v>
      </c>
      <c r="D30" s="1">
        <v>1.3194444444444444E-2</v>
      </c>
      <c r="E30" s="1">
        <v>1.1111111111111112E-2</v>
      </c>
      <c r="F30" s="1">
        <v>2.7777777777777779E-3</v>
      </c>
      <c r="G30" s="1">
        <v>7.6388888888888886E-3</v>
      </c>
      <c r="H30" s="1">
        <v>6.458333333333334E-2</v>
      </c>
      <c r="I30" s="1">
        <v>7.6388888888888886E-3</v>
      </c>
    </row>
    <row r="31" spans="1:9" x14ac:dyDescent="0.25">
      <c r="A31" t="s">
        <v>37</v>
      </c>
      <c r="B31" s="1">
        <v>1.8749999999999999E-2</v>
      </c>
      <c r="C31" s="1">
        <v>8.3333333333333332E-3</v>
      </c>
      <c r="D31" s="1">
        <v>1.7361111111111112E-2</v>
      </c>
      <c r="E31" s="1">
        <v>9.0277777777777769E-3</v>
      </c>
      <c r="F31" s="1">
        <v>4.1666666666666666E-3</v>
      </c>
      <c r="G31" s="1">
        <v>5.5555555555555558E-3</v>
      </c>
      <c r="H31" s="1">
        <v>6.3194444444444442E-2</v>
      </c>
      <c r="I31" s="1">
        <v>4.8611111111111112E-3</v>
      </c>
    </row>
    <row r="32" spans="1:9" x14ac:dyDescent="0.25">
      <c r="A32" t="s">
        <v>38</v>
      </c>
      <c r="B32" s="1">
        <v>2.361111111111111E-2</v>
      </c>
      <c r="C32" s="1">
        <v>6.2500000000000003E-3</v>
      </c>
      <c r="D32" s="1">
        <v>1.9444444444444445E-2</v>
      </c>
      <c r="E32" s="1">
        <v>1.3888888888888888E-2</v>
      </c>
      <c r="F32" s="1">
        <v>3.472222222222222E-3</v>
      </c>
      <c r="G32" s="1">
        <v>8.3333333333333332E-3</v>
      </c>
      <c r="H32" s="1">
        <v>7.4999999999999997E-2</v>
      </c>
      <c r="I32" s="1">
        <v>6.9444444444444441E-3</v>
      </c>
    </row>
    <row r="33" spans="1:9" x14ac:dyDescent="0.25">
      <c r="A33" t="s">
        <v>39</v>
      </c>
      <c r="B33" s="1">
        <v>2.7083333333333334E-2</v>
      </c>
      <c r="C33" s="1">
        <v>9.0277777777777769E-3</v>
      </c>
      <c r="D33" s="1">
        <v>1.5972222222222221E-2</v>
      </c>
      <c r="E33" s="1">
        <v>1.1805555555555555E-2</v>
      </c>
      <c r="F33" s="1">
        <v>6.2500000000000003E-3</v>
      </c>
      <c r="G33" s="1">
        <v>6.9444444444444441E-3</v>
      </c>
      <c r="H33" s="1">
        <v>7.7083333333333337E-2</v>
      </c>
      <c r="I33" s="1">
        <v>6.2500000000000003E-3</v>
      </c>
    </row>
    <row r="34" spans="1:9" x14ac:dyDescent="0.25">
      <c r="A34" t="s">
        <v>40</v>
      </c>
      <c r="B34" s="1">
        <v>2.0833333333333332E-2</v>
      </c>
      <c r="C34" s="1">
        <v>4.8611111111111112E-3</v>
      </c>
      <c r="D34" s="1">
        <v>1.1111111111111112E-2</v>
      </c>
      <c r="E34" s="1">
        <v>1.0416666666666666E-2</v>
      </c>
      <c r="F34" s="1">
        <v>2.7777777777777779E-3</v>
      </c>
      <c r="G34" s="1">
        <v>6.2500000000000003E-3</v>
      </c>
      <c r="H34" s="1">
        <v>5.6250000000000001E-2</v>
      </c>
      <c r="I34" s="1">
        <v>9.0277777777777769E-3</v>
      </c>
    </row>
    <row r="35" spans="1:9" x14ac:dyDescent="0.25">
      <c r="A35" t="s">
        <v>41</v>
      </c>
      <c r="B35" s="1">
        <v>2.4305555555555556E-2</v>
      </c>
      <c r="C35" s="1">
        <v>7.6388888888888886E-3</v>
      </c>
      <c r="D35" s="1">
        <v>1.8749999999999999E-2</v>
      </c>
      <c r="E35" s="1">
        <v>1.3194444444444444E-2</v>
      </c>
      <c r="F35" s="1">
        <v>4.1666666666666666E-3</v>
      </c>
      <c r="G35" s="1">
        <v>9.0277777777777769E-3</v>
      </c>
      <c r="H35" s="1">
        <v>7.7083333333333337E-2</v>
      </c>
      <c r="I35" s="1">
        <v>5.5555555555555558E-3</v>
      </c>
    </row>
    <row r="36" spans="1:9" x14ac:dyDescent="0.25">
      <c r="A36" t="s">
        <v>42</v>
      </c>
      <c r="B36" s="1">
        <v>2.9166666666666667E-2</v>
      </c>
      <c r="C36" s="1">
        <v>9.7222222222222224E-3</v>
      </c>
      <c r="D36" s="1">
        <v>2.1527777777777778E-2</v>
      </c>
      <c r="E36" s="1">
        <v>1.5972222222222221E-2</v>
      </c>
      <c r="F36" s="1">
        <v>5.5555555555555558E-3</v>
      </c>
      <c r="G36" s="1">
        <v>1.0416666666666666E-2</v>
      </c>
      <c r="H36" s="1">
        <v>9.2361111111111116E-2</v>
      </c>
      <c r="I36" s="1">
        <v>8.3333333333333332E-3</v>
      </c>
    </row>
    <row r="37" spans="1:9" x14ac:dyDescent="0.25">
      <c r="A37" t="s">
        <v>43</v>
      </c>
      <c r="B37" s="1">
        <v>1.8055555555555554E-2</v>
      </c>
      <c r="C37" s="1">
        <v>5.5555555555555558E-3</v>
      </c>
      <c r="D37" s="1">
        <v>1.3888888888888888E-2</v>
      </c>
      <c r="E37" s="1">
        <v>8.3333333333333332E-3</v>
      </c>
      <c r="F37" s="1">
        <v>2.0833333333333333E-3</v>
      </c>
      <c r="G37" s="1">
        <v>6.9444444444444441E-3</v>
      </c>
      <c r="H37" s="1">
        <v>5.486111111111111E-2</v>
      </c>
      <c r="I37" s="1">
        <v>6.9444444444444441E-3</v>
      </c>
    </row>
    <row r="38" spans="1:9" x14ac:dyDescent="0.25">
      <c r="A38" t="s">
        <v>44</v>
      </c>
      <c r="B38" s="1">
        <v>2.5694444444444443E-2</v>
      </c>
      <c r="C38" s="1">
        <v>6.9444444444444441E-3</v>
      </c>
      <c r="D38" s="1">
        <v>1.6666666666666666E-2</v>
      </c>
      <c r="E38" s="1">
        <v>1.2500000000000001E-2</v>
      </c>
      <c r="F38" s="1">
        <v>4.8611111111111112E-3</v>
      </c>
      <c r="G38" s="1">
        <v>7.6388888888888886E-3</v>
      </c>
      <c r="H38" s="1">
        <v>7.4305555555555555E-2</v>
      </c>
      <c r="I38" s="1">
        <v>4.8611111111111112E-3</v>
      </c>
    </row>
    <row r="39" spans="1:9" x14ac:dyDescent="0.25">
      <c r="A39" t="s">
        <v>45</v>
      </c>
      <c r="B39" s="1">
        <v>2.2222222222222223E-2</v>
      </c>
      <c r="C39" s="1">
        <v>8.3333333333333332E-3</v>
      </c>
      <c r="D39" s="1">
        <v>2.013888888888889E-2</v>
      </c>
      <c r="E39" s="1">
        <v>1.1111111111111112E-2</v>
      </c>
      <c r="F39" s="1">
        <v>3.472222222222222E-3</v>
      </c>
      <c r="G39" s="1">
        <v>9.0277777777777769E-3</v>
      </c>
      <c r="H39" s="1">
        <v>7.4305555555555555E-2</v>
      </c>
      <c r="I39" s="1">
        <v>7.6388888888888886E-3</v>
      </c>
    </row>
    <row r="40" spans="1:9" x14ac:dyDescent="0.25">
      <c r="A40" t="s">
        <v>46</v>
      </c>
      <c r="B40" s="1">
        <v>2.013888888888889E-2</v>
      </c>
      <c r="C40" s="1">
        <v>6.2500000000000003E-3</v>
      </c>
      <c r="D40" s="1">
        <v>1.2500000000000001E-2</v>
      </c>
      <c r="E40" s="1">
        <v>9.7222222222222224E-3</v>
      </c>
      <c r="F40" s="1">
        <v>2.7777777777777779E-3</v>
      </c>
      <c r="G40" s="1">
        <v>5.5555555555555558E-3</v>
      </c>
      <c r="H40" s="1">
        <v>5.6944444444444443E-2</v>
      </c>
      <c r="I40" s="1">
        <v>6.2500000000000003E-3</v>
      </c>
    </row>
    <row r="41" spans="1:9" x14ac:dyDescent="0.25">
      <c r="A41" t="s">
        <v>47</v>
      </c>
      <c r="B41" s="1">
        <v>2.8472222222222222E-2</v>
      </c>
      <c r="C41" s="1">
        <v>1.0416666666666666E-2</v>
      </c>
      <c r="D41" s="1">
        <v>1.8055555555555554E-2</v>
      </c>
      <c r="E41" s="1">
        <v>1.4583333333333334E-2</v>
      </c>
      <c r="F41" s="1">
        <v>6.2500000000000003E-3</v>
      </c>
      <c r="G41" s="1">
        <v>8.3333333333333332E-3</v>
      </c>
      <c r="H41" s="1">
        <v>8.611111111111111E-2</v>
      </c>
      <c r="I41" s="1">
        <v>9.7222222222222224E-3</v>
      </c>
    </row>
    <row r="42" spans="1:9" x14ac:dyDescent="0.25">
      <c r="A42" t="s">
        <v>48</v>
      </c>
      <c r="B42" s="1">
        <v>2.2916666666666665E-2</v>
      </c>
      <c r="C42" s="1">
        <v>4.8611111111111112E-3</v>
      </c>
      <c r="D42" s="1">
        <v>1.5277777777777777E-2</v>
      </c>
      <c r="E42" s="1">
        <v>1.1805555555555555E-2</v>
      </c>
      <c r="F42" s="1">
        <v>3.472222222222222E-3</v>
      </c>
      <c r="G42" s="1">
        <v>6.9444444444444441E-3</v>
      </c>
      <c r="H42" s="1">
        <v>6.5277777777777782E-2</v>
      </c>
      <c r="I42" s="1">
        <v>5.5555555555555558E-3</v>
      </c>
    </row>
    <row r="43" spans="1:9" x14ac:dyDescent="0.25">
      <c r="A43" t="s">
        <v>49</v>
      </c>
      <c r="B43" s="1">
        <v>2.5000000000000001E-2</v>
      </c>
      <c r="C43" s="1">
        <v>7.6388888888888886E-3</v>
      </c>
      <c r="D43" s="1">
        <v>2.0833333333333332E-2</v>
      </c>
      <c r="E43" s="1">
        <v>1.3888888888888888E-2</v>
      </c>
      <c r="F43" s="1">
        <v>4.1666666666666666E-3</v>
      </c>
      <c r="G43" s="1">
        <v>9.7222222222222224E-3</v>
      </c>
      <c r="H43" s="1">
        <v>8.1250000000000003E-2</v>
      </c>
      <c r="I43" s="1">
        <v>6.9444444444444441E-3</v>
      </c>
    </row>
    <row r="44" spans="1:9" x14ac:dyDescent="0.25">
      <c r="A44" t="s">
        <v>50</v>
      </c>
      <c r="B44" s="1">
        <v>1.9444444444444445E-2</v>
      </c>
      <c r="C44" s="1">
        <v>5.5555555555555558E-3</v>
      </c>
      <c r="D44" s="1">
        <v>1.1805555555555555E-2</v>
      </c>
      <c r="E44" s="1">
        <v>9.0277777777777769E-3</v>
      </c>
      <c r="F44" s="1">
        <v>2.0833333333333333E-3</v>
      </c>
      <c r="G44" s="1">
        <v>6.2500000000000003E-3</v>
      </c>
      <c r="H44" s="1">
        <v>5.4166666666666669E-2</v>
      </c>
      <c r="I44" s="1">
        <v>8.3333333333333332E-3</v>
      </c>
    </row>
    <row r="45" spans="1:9" x14ac:dyDescent="0.25">
      <c r="A45" t="s">
        <v>51</v>
      </c>
      <c r="B45" s="1">
        <v>2.7083333333333334E-2</v>
      </c>
      <c r="C45" s="1">
        <v>9.0277777777777769E-3</v>
      </c>
      <c r="D45" s="1">
        <v>1.7361111111111112E-2</v>
      </c>
      <c r="E45" s="1">
        <v>1.2500000000000001E-2</v>
      </c>
      <c r="F45" s="1">
        <v>4.8611111111111112E-3</v>
      </c>
      <c r="G45" s="1">
        <v>8.3333333333333332E-3</v>
      </c>
      <c r="H45" s="1">
        <v>7.9166666666666663E-2</v>
      </c>
      <c r="I45" s="1">
        <v>4.8611111111111112E-3</v>
      </c>
    </row>
    <row r="46" spans="1:9" x14ac:dyDescent="0.25">
      <c r="A46" t="s">
        <v>52</v>
      </c>
      <c r="B46" s="1">
        <v>2.1527777777777778E-2</v>
      </c>
      <c r="C46" s="1">
        <v>6.9444444444444441E-3</v>
      </c>
      <c r="D46" s="1">
        <v>1.4583333333333334E-2</v>
      </c>
      <c r="E46" s="1">
        <v>1.0416666666666666E-2</v>
      </c>
      <c r="F46" s="1">
        <v>3.472222222222222E-3</v>
      </c>
      <c r="G46" s="1">
        <v>7.6388888888888886E-3</v>
      </c>
      <c r="H46" s="1">
        <v>6.458333333333334E-2</v>
      </c>
      <c r="I46" s="1">
        <v>7.6388888888888886E-3</v>
      </c>
    </row>
    <row r="47" spans="1:9" x14ac:dyDescent="0.25">
      <c r="A47" t="s">
        <v>53</v>
      </c>
      <c r="B47" s="1">
        <v>2.361111111111111E-2</v>
      </c>
      <c r="C47" s="1">
        <v>6.2500000000000003E-3</v>
      </c>
      <c r="D47" s="1">
        <v>1.9444444444444445E-2</v>
      </c>
      <c r="E47" s="1">
        <v>1.3194444444444444E-2</v>
      </c>
      <c r="F47" s="1">
        <v>4.1666666666666666E-3</v>
      </c>
      <c r="G47" s="1">
        <v>9.0277777777777769E-3</v>
      </c>
      <c r="H47" s="1">
        <v>7.5694444444444439E-2</v>
      </c>
      <c r="I47" s="1">
        <v>6.2500000000000003E-3</v>
      </c>
    </row>
    <row r="48" spans="1:9" x14ac:dyDescent="0.25">
      <c r="A48" t="s">
        <v>54</v>
      </c>
      <c r="B48" s="1">
        <v>2.7777777777777776E-2</v>
      </c>
      <c r="C48" s="1">
        <v>8.3333333333333332E-3</v>
      </c>
      <c r="D48" s="1">
        <v>1.5972222222222221E-2</v>
      </c>
      <c r="E48" s="1">
        <v>1.5277777777777777E-2</v>
      </c>
      <c r="F48" s="1">
        <v>5.5555555555555558E-3</v>
      </c>
      <c r="G48" s="1">
        <v>6.9444444444444441E-3</v>
      </c>
      <c r="H48" s="1">
        <v>7.9861111111111105E-2</v>
      </c>
      <c r="I48" s="1">
        <v>9.0277777777777769E-3</v>
      </c>
    </row>
    <row r="49" spans="1:9" x14ac:dyDescent="0.25">
      <c r="A49" t="s">
        <v>55</v>
      </c>
      <c r="B49" s="1">
        <v>1.8749999999999999E-2</v>
      </c>
      <c r="C49" s="1">
        <v>4.8611111111111112E-3</v>
      </c>
      <c r="D49" s="1">
        <v>1.3194444444444444E-2</v>
      </c>
      <c r="E49" s="1">
        <v>9.7222222222222224E-3</v>
      </c>
      <c r="F49" s="1">
        <v>2.7777777777777779E-3</v>
      </c>
      <c r="G49" s="1">
        <v>6.2500000000000003E-3</v>
      </c>
      <c r="H49" s="1">
        <v>5.5555555555555552E-2</v>
      </c>
      <c r="I49" s="1">
        <v>5.5555555555555558E-3</v>
      </c>
    </row>
    <row r="50" spans="1:9" x14ac:dyDescent="0.25">
      <c r="A50" t="s">
        <v>56</v>
      </c>
      <c r="B50" s="1">
        <v>2.4305555555555556E-2</v>
      </c>
      <c r="C50" s="1">
        <v>9.7222222222222224E-3</v>
      </c>
      <c r="D50" s="1">
        <v>1.8055555555555554E-2</v>
      </c>
      <c r="E50" s="1">
        <v>1.1805555555555555E-2</v>
      </c>
      <c r="F50" s="1">
        <v>4.8611111111111112E-3</v>
      </c>
      <c r="G50" s="1">
        <v>8.3333333333333332E-3</v>
      </c>
      <c r="H50" s="1">
        <v>7.7083333333333337E-2</v>
      </c>
      <c r="I50" s="1">
        <v>6.9444444444444441E-3</v>
      </c>
    </row>
    <row r="51" spans="1:9" x14ac:dyDescent="0.25">
      <c r="A51" t="s">
        <v>57</v>
      </c>
      <c r="B51" s="1">
        <v>2.6388888888888889E-2</v>
      </c>
      <c r="C51" s="1">
        <v>6.9444444444444441E-3</v>
      </c>
      <c r="D51" s="1">
        <v>2.0833333333333332E-2</v>
      </c>
      <c r="E51" s="1">
        <v>1.3888888888888888E-2</v>
      </c>
      <c r="F51" s="1">
        <v>3.472222222222222E-3</v>
      </c>
      <c r="G51" s="1">
        <v>9.7222222222222224E-3</v>
      </c>
      <c r="H51" s="1">
        <v>8.1250000000000003E-2</v>
      </c>
      <c r="I51" s="1">
        <v>8.3333333333333332E-3</v>
      </c>
    </row>
    <row r="52" spans="1:9" x14ac:dyDescent="0.25">
      <c r="I52" s="1">
        <v>6.2500000000000003E-3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E19C-31B8-4091-9939-96C0E851442D}">
  <sheetPr codeName="Sheet3"/>
  <dimension ref="A1:P53"/>
  <sheetViews>
    <sheetView workbookViewId="0">
      <selection activeCell="P1" sqref="P1:P1048576"/>
    </sheetView>
  </sheetViews>
  <sheetFormatPr defaultRowHeight="15" x14ac:dyDescent="0.25"/>
  <cols>
    <col min="1" max="1" width="21.7109375" bestFit="1" customWidth="1"/>
    <col min="2" max="2" width="19.140625" bestFit="1" customWidth="1"/>
    <col min="3" max="3" width="14.140625" bestFit="1" customWidth="1"/>
    <col min="4" max="4" width="9.5703125" bestFit="1" customWidth="1"/>
    <col min="5" max="5" width="20.28515625" bestFit="1" customWidth="1"/>
    <col min="6" max="6" width="11.42578125" bestFit="1" customWidth="1"/>
    <col min="7" max="7" width="6.140625" bestFit="1" customWidth="1"/>
    <col min="8" max="8" width="12.140625" bestFit="1" customWidth="1"/>
    <col min="9" max="9" width="12" bestFit="1" customWidth="1"/>
    <col min="10" max="10" width="17" bestFit="1" customWidth="1"/>
    <col min="11" max="12" width="11.28515625" bestFit="1" customWidth="1"/>
    <col min="13" max="13" width="10" bestFit="1" customWidth="1"/>
    <col min="14" max="14" width="10.5703125" bestFit="1" customWidth="1"/>
    <col min="15" max="15" width="8.85546875" bestFit="1" customWidth="1"/>
    <col min="16" max="16" width="8.140625" bestFit="1" customWidth="1"/>
  </cols>
  <sheetData>
    <row r="1" spans="1:16" x14ac:dyDescent="0.25">
      <c r="A1" s="2" t="s">
        <v>0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</v>
      </c>
      <c r="M1" s="2" t="s">
        <v>69</v>
      </c>
      <c r="N1" s="2" t="s">
        <v>70</v>
      </c>
      <c r="O1" s="2" t="s">
        <v>71</v>
      </c>
      <c r="P1" s="2" t="s">
        <v>72</v>
      </c>
    </row>
    <row r="2" spans="1:16" x14ac:dyDescent="0.25">
      <c r="A2" t="s">
        <v>8</v>
      </c>
      <c r="B2" s="4">
        <v>0.34424768518518517</v>
      </c>
      <c r="C2">
        <v>45</v>
      </c>
      <c r="D2" s="3">
        <v>0.78539999999999999</v>
      </c>
      <c r="E2" s="3">
        <v>0.72299999999999998</v>
      </c>
      <c r="F2" s="3">
        <v>0.8145</v>
      </c>
      <c r="G2" s="3">
        <v>4.2000000000000003E-2</v>
      </c>
      <c r="H2" s="3">
        <v>5.0999999999999997E-2</v>
      </c>
      <c r="I2" s="3">
        <v>3.7999999999999999E-2</v>
      </c>
      <c r="J2" s="3">
        <v>2.1499999999999998E-2</v>
      </c>
      <c r="K2" s="3">
        <v>0.01</v>
      </c>
      <c r="L2" s="3">
        <v>0.05</v>
      </c>
      <c r="M2">
        <v>3</v>
      </c>
      <c r="N2">
        <v>18</v>
      </c>
      <c r="O2">
        <v>7</v>
      </c>
      <c r="P2">
        <v>24</v>
      </c>
    </row>
    <row r="3" spans="1:16" x14ac:dyDescent="0.25">
      <c r="A3" t="s">
        <v>9</v>
      </c>
      <c r="B3" s="1">
        <v>0.36270833333333335</v>
      </c>
      <c r="C3">
        <v>68</v>
      </c>
      <c r="D3" s="3">
        <v>0.84319999999999995</v>
      </c>
      <c r="E3" s="3">
        <v>0.78400000000000003</v>
      </c>
      <c r="F3" s="3">
        <v>0.86199999999999999</v>
      </c>
      <c r="G3" s="3">
        <v>3.5000000000000003E-2</v>
      </c>
      <c r="H3" s="3">
        <v>4.2000000000000003E-2</v>
      </c>
      <c r="I3" s="3">
        <v>3.1E-2</v>
      </c>
      <c r="J3" s="3">
        <v>1.7999999999999999E-2</v>
      </c>
      <c r="K3" s="3">
        <v>8.0000000000000002E-3</v>
      </c>
      <c r="L3" s="3">
        <v>4.3999999999999997E-2</v>
      </c>
      <c r="M3">
        <v>5</v>
      </c>
      <c r="N3">
        <v>27</v>
      </c>
      <c r="O3">
        <v>11</v>
      </c>
      <c r="P3">
        <v>39</v>
      </c>
    </row>
    <row r="4" spans="1:16" x14ac:dyDescent="0.25">
      <c r="A4" t="s">
        <v>10</v>
      </c>
      <c r="B4" s="1">
        <v>0.33016203703703706</v>
      </c>
      <c r="C4">
        <v>39</v>
      </c>
      <c r="D4" s="3">
        <v>0.71450000000000002</v>
      </c>
      <c r="E4" s="3">
        <v>0.68200000000000005</v>
      </c>
      <c r="F4" s="3">
        <v>0.76300000000000001</v>
      </c>
      <c r="G4" s="3">
        <v>5.0999999999999997E-2</v>
      </c>
      <c r="H4" s="3">
        <v>7.1999999999999995E-2</v>
      </c>
      <c r="I4" s="3">
        <v>4.2999999999999997E-2</v>
      </c>
      <c r="J4" s="3">
        <v>2.4E-2</v>
      </c>
      <c r="K4" s="3">
        <v>1.2E-2</v>
      </c>
      <c r="L4" s="3">
        <v>3.5999999999999997E-2</v>
      </c>
      <c r="M4">
        <v>2</v>
      </c>
      <c r="N4">
        <v>16</v>
      </c>
      <c r="O4">
        <v>6</v>
      </c>
      <c r="P4">
        <v>21</v>
      </c>
    </row>
    <row r="5" spans="1:16" x14ac:dyDescent="0.25">
      <c r="A5" t="s">
        <v>11</v>
      </c>
      <c r="B5" s="1">
        <v>0.35475694444444444</v>
      </c>
      <c r="C5">
        <v>72</v>
      </c>
      <c r="D5" s="3">
        <v>0.89449999999999996</v>
      </c>
      <c r="E5" s="3">
        <v>0.82599999999999996</v>
      </c>
      <c r="F5" s="3">
        <v>0.91300000000000003</v>
      </c>
      <c r="G5" s="3">
        <v>2.8000000000000001E-2</v>
      </c>
      <c r="H5" s="3">
        <v>3.5000000000000003E-2</v>
      </c>
      <c r="I5" s="3">
        <v>2.4E-2</v>
      </c>
      <c r="J5" s="3">
        <v>1.2E-2</v>
      </c>
      <c r="K5" s="3">
        <v>7.0000000000000001E-3</v>
      </c>
      <c r="L5" s="3">
        <v>3.5000000000000003E-2</v>
      </c>
      <c r="M5">
        <v>6</v>
      </c>
      <c r="N5">
        <v>31</v>
      </c>
      <c r="O5">
        <v>13</v>
      </c>
      <c r="P5">
        <v>46</v>
      </c>
    </row>
    <row r="6" spans="1:16" x14ac:dyDescent="0.25">
      <c r="A6" t="s">
        <v>12</v>
      </c>
      <c r="B6" s="1">
        <v>0.37861111111111112</v>
      </c>
      <c r="C6">
        <v>98</v>
      </c>
      <c r="D6" s="3">
        <v>0.9425</v>
      </c>
      <c r="E6" s="3">
        <v>0.88400000000000001</v>
      </c>
      <c r="F6" s="3">
        <v>0.95099999999999996</v>
      </c>
      <c r="G6" s="3">
        <v>1.7999999999999999E-2</v>
      </c>
      <c r="H6" s="3">
        <v>2.1999999999999999E-2</v>
      </c>
      <c r="I6" s="3">
        <v>1.4999999999999999E-2</v>
      </c>
      <c r="J6" s="3">
        <v>8.9999999999999993E-3</v>
      </c>
      <c r="K6" s="3">
        <v>4.0000000000000001E-3</v>
      </c>
      <c r="L6" s="3">
        <v>0.02</v>
      </c>
      <c r="M6">
        <v>8</v>
      </c>
      <c r="N6">
        <v>42</v>
      </c>
      <c r="O6">
        <v>18</v>
      </c>
      <c r="P6">
        <v>67</v>
      </c>
    </row>
    <row r="7" spans="1:16" x14ac:dyDescent="0.25">
      <c r="A7" t="s">
        <v>13</v>
      </c>
      <c r="B7" s="1">
        <v>0.34765046296296298</v>
      </c>
      <c r="C7">
        <v>54</v>
      </c>
      <c r="D7" s="3">
        <v>0.81630000000000003</v>
      </c>
      <c r="E7" s="3">
        <v>0.752</v>
      </c>
      <c r="F7" s="3">
        <v>0.84599999999999997</v>
      </c>
      <c r="G7" s="3">
        <v>3.9E-2</v>
      </c>
      <c r="H7" s="3">
        <v>5.3999999999999999E-2</v>
      </c>
      <c r="I7" s="3">
        <v>3.2000000000000001E-2</v>
      </c>
      <c r="J7" s="3">
        <v>1.9E-2</v>
      </c>
      <c r="K7" s="3">
        <v>8.9999999999999993E-3</v>
      </c>
      <c r="L7" s="3">
        <v>4.9000000000000002E-2</v>
      </c>
      <c r="M7">
        <v>4</v>
      </c>
      <c r="N7">
        <v>22</v>
      </c>
      <c r="O7">
        <v>9</v>
      </c>
      <c r="P7">
        <v>31</v>
      </c>
    </row>
    <row r="8" spans="1:16" x14ac:dyDescent="0.25">
      <c r="A8" t="s">
        <v>14</v>
      </c>
      <c r="B8" s="1">
        <v>0.32552083333333331</v>
      </c>
      <c r="C8">
        <v>42</v>
      </c>
      <c r="D8" s="3">
        <v>0.74819999999999998</v>
      </c>
      <c r="E8" s="3">
        <v>0.69499999999999995</v>
      </c>
      <c r="F8" s="3">
        <v>0.78200000000000003</v>
      </c>
      <c r="G8" s="3">
        <v>4.8000000000000001E-2</v>
      </c>
      <c r="H8" s="3">
        <v>6.9000000000000006E-2</v>
      </c>
      <c r="I8" s="3">
        <v>0.04</v>
      </c>
      <c r="J8" s="3">
        <v>2.3E-2</v>
      </c>
      <c r="K8" s="3">
        <v>1.0999999999999999E-2</v>
      </c>
      <c r="L8" s="3">
        <v>3.2000000000000001E-2</v>
      </c>
      <c r="M8">
        <v>2</v>
      </c>
      <c r="N8">
        <v>17</v>
      </c>
      <c r="O8">
        <v>5</v>
      </c>
      <c r="P8">
        <v>25</v>
      </c>
    </row>
    <row r="9" spans="1:16" x14ac:dyDescent="0.25">
      <c r="A9" t="s">
        <v>15</v>
      </c>
      <c r="B9" s="1">
        <v>0.37186342592592592</v>
      </c>
      <c r="C9">
        <v>81</v>
      </c>
      <c r="D9" s="3">
        <v>0.91359999999999997</v>
      </c>
      <c r="E9" s="3">
        <v>0.85299999999999998</v>
      </c>
      <c r="F9" s="3">
        <v>0.92400000000000004</v>
      </c>
      <c r="G9" s="3">
        <v>2.3E-2</v>
      </c>
      <c r="H9" s="3">
        <v>2.9000000000000001E-2</v>
      </c>
      <c r="I9" s="3">
        <v>0.02</v>
      </c>
      <c r="J9" s="3">
        <v>1.0999999999999999E-2</v>
      </c>
      <c r="K9" s="3">
        <v>5.0000000000000001E-3</v>
      </c>
      <c r="L9" s="3">
        <v>3.9E-2</v>
      </c>
      <c r="M9">
        <v>7</v>
      </c>
      <c r="N9">
        <v>35</v>
      </c>
      <c r="O9">
        <v>15</v>
      </c>
      <c r="P9">
        <v>55</v>
      </c>
    </row>
    <row r="10" spans="1:16" x14ac:dyDescent="0.25">
      <c r="A10" t="s">
        <v>16</v>
      </c>
      <c r="B10" s="1">
        <v>0.38215277777777779</v>
      </c>
      <c r="C10">
        <v>105</v>
      </c>
      <c r="D10" s="3">
        <v>0.96419999999999995</v>
      </c>
      <c r="E10" s="3">
        <v>0.90200000000000002</v>
      </c>
      <c r="F10" s="3">
        <v>0.97099999999999997</v>
      </c>
      <c r="G10" s="3">
        <v>1.2E-2</v>
      </c>
      <c r="H10" s="3">
        <v>1.7999999999999999E-2</v>
      </c>
      <c r="I10" s="3">
        <v>1.2E-2</v>
      </c>
      <c r="J10" s="3">
        <v>6.0000000000000001E-3</v>
      </c>
      <c r="K10" s="3">
        <v>3.0000000000000001E-3</v>
      </c>
      <c r="L10" s="3">
        <v>2.1000000000000001E-2</v>
      </c>
      <c r="M10">
        <v>9</v>
      </c>
      <c r="N10">
        <v>48</v>
      </c>
      <c r="O10">
        <v>21</v>
      </c>
      <c r="P10">
        <v>74</v>
      </c>
    </row>
    <row r="11" spans="1:16" x14ac:dyDescent="0.25">
      <c r="A11" t="s">
        <v>17</v>
      </c>
      <c r="B11" s="1">
        <v>0.31982638888888887</v>
      </c>
      <c r="C11">
        <v>35</v>
      </c>
      <c r="D11" s="3">
        <v>0.6875</v>
      </c>
      <c r="E11" s="3">
        <v>0.63800000000000001</v>
      </c>
      <c r="F11" s="3">
        <v>0.72399999999999998</v>
      </c>
      <c r="G11" s="3">
        <v>6.0999999999999999E-2</v>
      </c>
      <c r="H11" s="3">
        <v>8.2000000000000003E-2</v>
      </c>
      <c r="I11" s="3">
        <v>4.8000000000000001E-2</v>
      </c>
      <c r="J11" s="3">
        <v>2.7E-2</v>
      </c>
      <c r="K11" s="3">
        <v>1.4E-2</v>
      </c>
      <c r="L11" s="3">
        <v>0.04</v>
      </c>
      <c r="M11">
        <v>2</v>
      </c>
      <c r="N11">
        <v>14</v>
      </c>
      <c r="O11">
        <v>4</v>
      </c>
      <c r="P11">
        <v>18</v>
      </c>
    </row>
    <row r="12" spans="1:16" x14ac:dyDescent="0.25">
      <c r="A12" t="s">
        <v>18</v>
      </c>
      <c r="B12" s="1">
        <v>0.35818287037037039</v>
      </c>
      <c r="C12">
        <v>76</v>
      </c>
      <c r="D12" s="3">
        <v>0.87519999999999998</v>
      </c>
      <c r="E12" s="3">
        <v>0.80100000000000005</v>
      </c>
      <c r="F12" s="3">
        <v>0.89300000000000002</v>
      </c>
      <c r="G12" s="3">
        <v>3.1E-2</v>
      </c>
      <c r="H12" s="3">
        <v>0.04</v>
      </c>
      <c r="I12" s="3">
        <v>2.8000000000000001E-2</v>
      </c>
      <c r="J12" s="3">
        <v>1.6E-2</v>
      </c>
      <c r="K12" s="3">
        <v>7.0000000000000001E-3</v>
      </c>
      <c r="L12" s="3">
        <v>4.2000000000000003E-2</v>
      </c>
      <c r="M12">
        <v>6</v>
      </c>
      <c r="N12">
        <v>30</v>
      </c>
      <c r="O12">
        <v>12</v>
      </c>
      <c r="P12">
        <v>48</v>
      </c>
    </row>
    <row r="13" spans="1:16" x14ac:dyDescent="0.25">
      <c r="A13" t="s">
        <v>19</v>
      </c>
      <c r="B13" s="1">
        <v>0.33706018518518521</v>
      </c>
      <c r="C13">
        <v>48</v>
      </c>
      <c r="D13" s="3">
        <v>0.7984</v>
      </c>
      <c r="E13" s="3">
        <v>0.73599999999999999</v>
      </c>
      <c r="F13" s="3">
        <v>0.82499999999999996</v>
      </c>
      <c r="G13" s="3">
        <v>4.2999999999999997E-2</v>
      </c>
      <c r="H13" s="3">
        <v>5.7000000000000002E-2</v>
      </c>
      <c r="I13" s="3">
        <v>3.5000000000000003E-2</v>
      </c>
      <c r="J13" s="3">
        <v>0.02</v>
      </c>
      <c r="K13" s="3">
        <v>0.01</v>
      </c>
      <c r="L13" s="3">
        <v>0.04</v>
      </c>
      <c r="M13">
        <v>3</v>
      </c>
      <c r="N13">
        <v>20</v>
      </c>
      <c r="O13">
        <v>8</v>
      </c>
      <c r="P13">
        <v>29</v>
      </c>
    </row>
    <row r="14" spans="1:16" x14ac:dyDescent="0.25">
      <c r="A14" t="s">
        <v>20</v>
      </c>
      <c r="B14" s="1">
        <v>0.37547453703703704</v>
      </c>
      <c r="C14">
        <v>89</v>
      </c>
      <c r="D14" s="3">
        <v>0.92779999999999996</v>
      </c>
      <c r="E14" s="3">
        <v>0.86899999999999999</v>
      </c>
      <c r="F14" s="3">
        <v>0.94199999999999995</v>
      </c>
      <c r="G14" s="3">
        <v>2.1000000000000001E-2</v>
      </c>
      <c r="H14" s="3">
        <v>2.7E-2</v>
      </c>
      <c r="I14" s="3">
        <v>1.7999999999999999E-2</v>
      </c>
      <c r="J14" s="3">
        <v>0.01</v>
      </c>
      <c r="K14" s="3">
        <v>5.0000000000000001E-3</v>
      </c>
      <c r="L14" s="3">
        <v>3.7999999999999999E-2</v>
      </c>
      <c r="M14">
        <v>8</v>
      </c>
      <c r="N14">
        <v>39</v>
      </c>
      <c r="O14">
        <v>16</v>
      </c>
      <c r="P14">
        <v>61</v>
      </c>
    </row>
    <row r="15" spans="1:16" x14ac:dyDescent="0.25">
      <c r="A15" t="s">
        <v>21</v>
      </c>
      <c r="B15" s="1">
        <v>0.32799768518518518</v>
      </c>
      <c r="C15">
        <v>41</v>
      </c>
      <c r="D15" s="3">
        <v>0.73260000000000003</v>
      </c>
      <c r="E15" s="3">
        <v>0.67800000000000005</v>
      </c>
      <c r="F15" s="3">
        <v>0.77100000000000002</v>
      </c>
      <c r="G15" s="3">
        <v>0.05</v>
      </c>
      <c r="H15" s="3">
        <v>7.0999999999999994E-2</v>
      </c>
      <c r="I15" s="3">
        <v>4.2000000000000003E-2</v>
      </c>
      <c r="J15" s="3">
        <v>2.5000000000000001E-2</v>
      </c>
      <c r="K15" s="3">
        <v>1.2E-2</v>
      </c>
      <c r="L15" s="3">
        <v>3.9E-2</v>
      </c>
      <c r="M15">
        <v>2</v>
      </c>
      <c r="N15">
        <v>15</v>
      </c>
      <c r="O15">
        <v>5</v>
      </c>
      <c r="P15">
        <v>23</v>
      </c>
    </row>
    <row r="16" spans="1:16" x14ac:dyDescent="0.25">
      <c r="A16" t="s">
        <v>22</v>
      </c>
      <c r="B16" s="1">
        <v>0.36175925925925928</v>
      </c>
      <c r="C16">
        <v>73</v>
      </c>
      <c r="D16" s="3">
        <v>0.88629999999999998</v>
      </c>
      <c r="E16" s="3">
        <v>0.82099999999999995</v>
      </c>
      <c r="F16" s="3">
        <v>0.90400000000000003</v>
      </c>
      <c r="G16" s="3">
        <v>2.9000000000000001E-2</v>
      </c>
      <c r="H16" s="3">
        <v>3.7999999999999999E-2</v>
      </c>
      <c r="I16" s="3">
        <v>2.5000000000000001E-2</v>
      </c>
      <c r="J16" s="3">
        <v>1.4E-2</v>
      </c>
      <c r="K16" s="3">
        <v>6.0000000000000001E-3</v>
      </c>
      <c r="L16" s="3">
        <v>4.2000000000000003E-2</v>
      </c>
      <c r="M16">
        <v>5</v>
      </c>
      <c r="N16">
        <v>32</v>
      </c>
      <c r="O16">
        <v>13</v>
      </c>
      <c r="P16">
        <v>50</v>
      </c>
    </row>
    <row r="17" spans="1:16" x14ac:dyDescent="0.25">
      <c r="A17" t="s">
        <v>23</v>
      </c>
      <c r="B17" s="1">
        <v>0.34410879629629632</v>
      </c>
      <c r="C17">
        <v>57</v>
      </c>
      <c r="D17" s="3">
        <v>0.82450000000000001</v>
      </c>
      <c r="E17" s="3">
        <v>0.76400000000000001</v>
      </c>
      <c r="F17" s="3">
        <v>0.85699999999999998</v>
      </c>
      <c r="G17" s="3">
        <v>3.7999999999999999E-2</v>
      </c>
      <c r="H17" s="3">
        <v>5.1999999999999998E-2</v>
      </c>
      <c r="I17" s="3">
        <v>3.1E-2</v>
      </c>
      <c r="J17" s="3">
        <v>1.7999999999999999E-2</v>
      </c>
      <c r="K17" s="3">
        <v>8.9999999999999993E-3</v>
      </c>
      <c r="L17" s="3">
        <v>4.1000000000000002E-2</v>
      </c>
      <c r="M17">
        <v>4</v>
      </c>
      <c r="N17">
        <v>24</v>
      </c>
      <c r="O17">
        <v>9</v>
      </c>
      <c r="P17">
        <v>35</v>
      </c>
    </row>
    <row r="18" spans="1:16" x14ac:dyDescent="0.25">
      <c r="A18" t="s">
        <v>24</v>
      </c>
      <c r="B18" s="1">
        <v>0.3790277777777778</v>
      </c>
      <c r="C18">
        <v>94</v>
      </c>
      <c r="D18" s="3">
        <v>0.9385</v>
      </c>
      <c r="E18" s="3">
        <v>0.88100000000000001</v>
      </c>
      <c r="F18" s="3">
        <v>0.95599999999999996</v>
      </c>
      <c r="G18" s="3">
        <v>1.7000000000000001E-2</v>
      </c>
      <c r="H18" s="3">
        <v>2.4E-2</v>
      </c>
      <c r="I18" s="3">
        <v>1.6E-2</v>
      </c>
      <c r="J18" s="3">
        <v>8.0000000000000002E-3</v>
      </c>
      <c r="K18" s="3">
        <v>4.0000000000000001E-3</v>
      </c>
      <c r="L18" s="3">
        <v>2.5000000000000001E-2</v>
      </c>
      <c r="M18">
        <v>8</v>
      </c>
      <c r="N18">
        <v>41</v>
      </c>
      <c r="O18">
        <v>18</v>
      </c>
      <c r="P18">
        <v>65</v>
      </c>
    </row>
    <row r="19" spans="1:16" x14ac:dyDescent="0.25">
      <c r="A19" t="s">
        <v>25</v>
      </c>
      <c r="B19" s="1">
        <v>0.35085648148148146</v>
      </c>
      <c r="C19">
        <v>63</v>
      </c>
      <c r="D19" s="3">
        <v>0.85270000000000001</v>
      </c>
      <c r="E19" s="3">
        <v>0.79300000000000004</v>
      </c>
      <c r="F19" s="3">
        <v>0.879</v>
      </c>
      <c r="G19" s="3">
        <v>3.4000000000000002E-2</v>
      </c>
      <c r="H19" s="3">
        <v>4.4999999999999998E-2</v>
      </c>
      <c r="I19" s="3">
        <v>2.9000000000000001E-2</v>
      </c>
      <c r="J19" s="3">
        <v>1.7000000000000001E-2</v>
      </c>
      <c r="K19" s="3">
        <v>8.0000000000000002E-3</v>
      </c>
      <c r="L19" s="3">
        <v>4.3999999999999997E-2</v>
      </c>
      <c r="M19">
        <v>5</v>
      </c>
      <c r="N19">
        <v>26</v>
      </c>
      <c r="O19">
        <v>10</v>
      </c>
      <c r="P19">
        <v>42</v>
      </c>
    </row>
    <row r="20" spans="1:16" x14ac:dyDescent="0.25">
      <c r="A20" t="s">
        <v>26</v>
      </c>
      <c r="B20" s="1">
        <v>0.33239583333333333</v>
      </c>
      <c r="C20">
        <v>46</v>
      </c>
      <c r="D20" s="3">
        <v>0.77639999999999998</v>
      </c>
      <c r="E20" s="3">
        <v>0.71199999999999997</v>
      </c>
      <c r="F20" s="3">
        <v>0.80600000000000005</v>
      </c>
      <c r="G20" s="3">
        <v>4.5999999999999999E-2</v>
      </c>
      <c r="H20" s="3">
        <v>6.3E-2</v>
      </c>
      <c r="I20" s="3">
        <v>3.9E-2</v>
      </c>
      <c r="J20" s="3">
        <v>2.1999999999999999E-2</v>
      </c>
      <c r="K20" s="3">
        <v>1.0999999999999999E-2</v>
      </c>
      <c r="L20" s="3">
        <v>4.1000000000000002E-2</v>
      </c>
      <c r="M20">
        <v>3</v>
      </c>
      <c r="N20">
        <v>19</v>
      </c>
      <c r="O20">
        <v>7</v>
      </c>
      <c r="P20">
        <v>28</v>
      </c>
    </row>
    <row r="21" spans="1:16" x14ac:dyDescent="0.25">
      <c r="A21" t="s">
        <v>27</v>
      </c>
      <c r="B21" s="1">
        <v>0.36836805555555557</v>
      </c>
      <c r="C21">
        <v>85</v>
      </c>
      <c r="D21" s="3">
        <v>0.90739999999999998</v>
      </c>
      <c r="E21" s="3">
        <v>0.84599999999999997</v>
      </c>
      <c r="F21" s="3">
        <v>0.92100000000000004</v>
      </c>
      <c r="G21" s="3">
        <v>2.5000000000000001E-2</v>
      </c>
      <c r="H21" s="3">
        <v>3.2000000000000001E-2</v>
      </c>
      <c r="I21" s="3">
        <v>2.1999999999999999E-2</v>
      </c>
      <c r="J21" s="3">
        <v>1.2E-2</v>
      </c>
      <c r="K21" s="3">
        <v>6.0000000000000001E-3</v>
      </c>
      <c r="L21" s="3">
        <v>3.6999999999999998E-2</v>
      </c>
      <c r="M21">
        <v>7</v>
      </c>
      <c r="N21">
        <v>37</v>
      </c>
      <c r="O21">
        <v>15</v>
      </c>
      <c r="P21">
        <v>58</v>
      </c>
    </row>
    <row r="22" spans="1:16" x14ac:dyDescent="0.25">
      <c r="A22" t="s">
        <v>28</v>
      </c>
      <c r="B22" s="1">
        <v>0.34631944444444446</v>
      </c>
      <c r="C22">
        <v>52</v>
      </c>
      <c r="D22" s="3">
        <v>0.80359999999999998</v>
      </c>
      <c r="E22" s="3">
        <v>0.748</v>
      </c>
      <c r="F22" s="3">
        <v>0.83399999999999996</v>
      </c>
      <c r="G22" s="3">
        <v>0.04</v>
      </c>
      <c r="H22" s="3">
        <v>5.6000000000000001E-2</v>
      </c>
      <c r="I22" s="3">
        <v>3.4000000000000002E-2</v>
      </c>
      <c r="J22" s="3">
        <v>1.9E-2</v>
      </c>
      <c r="K22" s="3">
        <v>8.9999999999999993E-3</v>
      </c>
      <c r="L22" s="3">
        <v>0.04</v>
      </c>
      <c r="M22">
        <v>4</v>
      </c>
      <c r="N22">
        <v>21</v>
      </c>
      <c r="O22">
        <v>8</v>
      </c>
      <c r="P22">
        <v>33</v>
      </c>
    </row>
    <row r="23" spans="1:16" x14ac:dyDescent="0.25">
      <c r="A23" t="s">
        <v>29</v>
      </c>
      <c r="B23" s="1">
        <v>0.38374999999999998</v>
      </c>
      <c r="C23">
        <v>101</v>
      </c>
      <c r="D23" s="3">
        <v>0.95179999999999998</v>
      </c>
      <c r="E23" s="3">
        <v>0.89700000000000002</v>
      </c>
      <c r="F23" s="3">
        <v>0.96199999999999997</v>
      </c>
      <c r="G23" s="3">
        <v>1.4999999999999999E-2</v>
      </c>
      <c r="H23" s="3">
        <v>0.02</v>
      </c>
      <c r="I23" s="3">
        <v>1.2999999999999999E-2</v>
      </c>
      <c r="J23" s="3">
        <v>7.0000000000000001E-3</v>
      </c>
      <c r="K23" s="3">
        <v>3.0000000000000001E-3</v>
      </c>
      <c r="L23" s="3">
        <v>2.1999999999999999E-2</v>
      </c>
      <c r="M23">
        <v>9</v>
      </c>
      <c r="N23">
        <v>44</v>
      </c>
      <c r="O23">
        <v>20</v>
      </c>
      <c r="P23">
        <v>70</v>
      </c>
    </row>
    <row r="24" spans="1:16" x14ac:dyDescent="0.25">
      <c r="A24" t="s">
        <v>30</v>
      </c>
      <c r="B24" s="1">
        <v>0.32350694444444444</v>
      </c>
      <c r="C24">
        <v>37</v>
      </c>
      <c r="D24" s="3">
        <v>0.70920000000000005</v>
      </c>
      <c r="E24" s="3">
        <v>0.65400000000000003</v>
      </c>
      <c r="F24" s="3">
        <v>0.746</v>
      </c>
      <c r="G24" s="3">
        <v>5.3999999999999999E-2</v>
      </c>
      <c r="H24" s="3">
        <v>7.8E-2</v>
      </c>
      <c r="I24" s="3">
        <v>4.5999999999999999E-2</v>
      </c>
      <c r="J24" s="3">
        <v>2.5999999999999999E-2</v>
      </c>
      <c r="K24" s="3">
        <v>1.2999999999999999E-2</v>
      </c>
      <c r="L24" s="3">
        <v>3.6999999999999998E-2</v>
      </c>
      <c r="M24">
        <v>2</v>
      </c>
      <c r="N24">
        <v>15</v>
      </c>
      <c r="O24">
        <v>5</v>
      </c>
      <c r="P24">
        <v>20</v>
      </c>
    </row>
    <row r="25" spans="1:16" x14ac:dyDescent="0.25">
      <c r="A25" t="s">
        <v>31</v>
      </c>
      <c r="B25" s="1">
        <v>0.3598263888888889</v>
      </c>
      <c r="C25">
        <v>79</v>
      </c>
      <c r="D25" s="3">
        <v>0.88939999999999997</v>
      </c>
      <c r="E25" s="3">
        <v>0.82799999999999996</v>
      </c>
      <c r="F25" s="3">
        <v>0.90800000000000003</v>
      </c>
      <c r="G25" s="3">
        <v>2.8000000000000001E-2</v>
      </c>
      <c r="H25" s="3">
        <v>3.5999999999999997E-2</v>
      </c>
      <c r="I25" s="3">
        <v>2.4E-2</v>
      </c>
      <c r="J25" s="3">
        <v>1.2999999999999999E-2</v>
      </c>
      <c r="K25" s="3">
        <v>6.0000000000000001E-3</v>
      </c>
      <c r="L25" s="3">
        <v>0.04</v>
      </c>
      <c r="M25">
        <v>6</v>
      </c>
      <c r="N25">
        <v>34</v>
      </c>
      <c r="O25">
        <v>14</v>
      </c>
      <c r="P25">
        <v>53</v>
      </c>
    </row>
    <row r="26" spans="1:16" x14ac:dyDescent="0.25">
      <c r="A26" t="s">
        <v>32</v>
      </c>
      <c r="B26" s="1">
        <v>0.34060185185185188</v>
      </c>
      <c r="C26">
        <v>49</v>
      </c>
      <c r="D26" s="3">
        <v>0.81720000000000004</v>
      </c>
      <c r="E26" s="3">
        <v>0.75900000000000001</v>
      </c>
      <c r="F26" s="3">
        <v>0.84299999999999997</v>
      </c>
      <c r="G26" s="3">
        <v>3.9E-2</v>
      </c>
      <c r="H26" s="3">
        <v>5.2999999999999999E-2</v>
      </c>
      <c r="I26" s="3">
        <v>3.2000000000000001E-2</v>
      </c>
      <c r="J26" s="3">
        <v>1.7999999999999999E-2</v>
      </c>
      <c r="K26" s="3">
        <v>8.9999999999999993E-3</v>
      </c>
      <c r="L26" s="3">
        <v>4.9000000000000002E-2</v>
      </c>
      <c r="M26">
        <v>3</v>
      </c>
      <c r="N26">
        <v>21</v>
      </c>
      <c r="O26">
        <v>8</v>
      </c>
      <c r="P26">
        <v>30</v>
      </c>
    </row>
    <row r="27" spans="1:16" x14ac:dyDescent="0.25">
      <c r="A27" t="s">
        <v>33</v>
      </c>
      <c r="B27" s="1">
        <v>0.36499999999999999</v>
      </c>
      <c r="C27">
        <v>70</v>
      </c>
      <c r="D27" s="3">
        <v>0.86580000000000001</v>
      </c>
      <c r="E27" s="3">
        <v>0.80500000000000005</v>
      </c>
      <c r="F27" s="3">
        <v>0.88700000000000001</v>
      </c>
      <c r="G27" s="3">
        <v>3.2000000000000001E-2</v>
      </c>
      <c r="H27" s="3">
        <v>4.2999999999999997E-2</v>
      </c>
      <c r="I27" s="3">
        <v>2.7E-2</v>
      </c>
      <c r="J27" s="3">
        <v>1.4999999999999999E-2</v>
      </c>
      <c r="K27" s="3">
        <v>7.0000000000000001E-3</v>
      </c>
      <c r="L27" s="3">
        <v>4.3999999999999997E-2</v>
      </c>
      <c r="M27">
        <v>5</v>
      </c>
      <c r="N27">
        <v>29</v>
      </c>
      <c r="O27">
        <v>12</v>
      </c>
      <c r="P27">
        <v>46</v>
      </c>
    </row>
    <row r="28" spans="1:16" x14ac:dyDescent="0.25">
      <c r="A28" t="s">
        <v>34</v>
      </c>
      <c r="B28" s="1">
        <v>0.37658564814814816</v>
      </c>
      <c r="C28">
        <v>92</v>
      </c>
      <c r="D28" s="3">
        <v>0.9214</v>
      </c>
      <c r="E28" s="3">
        <v>0.86299999999999999</v>
      </c>
      <c r="F28" s="3">
        <v>0.94</v>
      </c>
      <c r="G28" s="3">
        <v>0.02</v>
      </c>
      <c r="H28" s="3">
        <v>2.8000000000000001E-2</v>
      </c>
      <c r="I28" s="3">
        <v>1.7999999999999999E-2</v>
      </c>
      <c r="J28" s="3">
        <v>0.01</v>
      </c>
      <c r="K28" s="3">
        <v>4.0000000000000001E-3</v>
      </c>
      <c r="L28" s="3">
        <v>3.6999999999999998E-2</v>
      </c>
      <c r="M28">
        <v>8</v>
      </c>
      <c r="N28">
        <v>40</v>
      </c>
      <c r="O28">
        <v>17</v>
      </c>
      <c r="P28">
        <v>63</v>
      </c>
    </row>
    <row r="29" spans="1:16" x14ac:dyDescent="0.25">
      <c r="A29" t="s">
        <v>35</v>
      </c>
      <c r="B29" s="1">
        <v>0.32689814814814816</v>
      </c>
      <c r="C29">
        <v>43</v>
      </c>
      <c r="D29" s="3">
        <v>0.7268</v>
      </c>
      <c r="E29" s="3">
        <v>0.67100000000000004</v>
      </c>
      <c r="F29" s="3">
        <v>0.76800000000000002</v>
      </c>
      <c r="G29" s="3">
        <v>5.1999999999999998E-2</v>
      </c>
      <c r="H29" s="3">
        <v>7.0000000000000007E-2</v>
      </c>
      <c r="I29" s="3">
        <v>4.1000000000000002E-2</v>
      </c>
      <c r="J29" s="3">
        <v>2.4E-2</v>
      </c>
      <c r="K29" s="3">
        <v>1.2E-2</v>
      </c>
      <c r="L29" s="3">
        <v>3.9E-2</v>
      </c>
      <c r="M29">
        <v>2</v>
      </c>
      <c r="N29">
        <v>17</v>
      </c>
      <c r="O29">
        <v>6</v>
      </c>
      <c r="P29">
        <v>24</v>
      </c>
    </row>
    <row r="30" spans="1:16" x14ac:dyDescent="0.25">
      <c r="A30" t="s">
        <v>36</v>
      </c>
      <c r="B30" s="1">
        <v>0.35616898148148146</v>
      </c>
      <c r="C30">
        <v>75</v>
      </c>
      <c r="D30" s="3">
        <v>0.8921</v>
      </c>
      <c r="E30" s="3">
        <v>0.83399999999999996</v>
      </c>
      <c r="F30" s="3">
        <v>0.91600000000000004</v>
      </c>
      <c r="G30" s="3">
        <v>2.5999999999999999E-2</v>
      </c>
      <c r="H30" s="3">
        <v>3.4000000000000002E-2</v>
      </c>
      <c r="I30" s="3">
        <v>2.1999999999999999E-2</v>
      </c>
      <c r="J30" s="3">
        <v>1.2E-2</v>
      </c>
      <c r="K30" s="3">
        <v>5.0000000000000001E-3</v>
      </c>
      <c r="L30" s="3">
        <v>3.7999999999999999E-2</v>
      </c>
      <c r="M30">
        <v>6</v>
      </c>
      <c r="N30">
        <v>33</v>
      </c>
      <c r="O30">
        <v>13</v>
      </c>
      <c r="P30">
        <v>51</v>
      </c>
    </row>
    <row r="31" spans="1:16" x14ac:dyDescent="0.25">
      <c r="A31" t="s">
        <v>37</v>
      </c>
      <c r="B31" s="1">
        <v>0.34896990740740741</v>
      </c>
      <c r="C31">
        <v>58</v>
      </c>
      <c r="D31" s="3">
        <v>0.8347</v>
      </c>
      <c r="E31" s="3">
        <v>0.77300000000000002</v>
      </c>
      <c r="F31" s="3">
        <v>0.86099999999999999</v>
      </c>
      <c r="G31" s="3">
        <v>3.6999999999999998E-2</v>
      </c>
      <c r="H31" s="3">
        <v>4.9000000000000002E-2</v>
      </c>
      <c r="I31" s="3">
        <v>0.03</v>
      </c>
      <c r="J31" s="3">
        <v>1.7000000000000001E-2</v>
      </c>
      <c r="K31" s="3">
        <v>8.0000000000000002E-3</v>
      </c>
      <c r="L31" s="3">
        <v>4.4999999999999998E-2</v>
      </c>
      <c r="M31">
        <v>4</v>
      </c>
      <c r="N31">
        <v>25</v>
      </c>
      <c r="O31">
        <v>10</v>
      </c>
      <c r="P31">
        <v>37</v>
      </c>
    </row>
    <row r="32" spans="1:16" x14ac:dyDescent="0.25">
      <c r="A32" t="s">
        <v>38</v>
      </c>
      <c r="B32" s="1">
        <v>0.3808449074074074</v>
      </c>
      <c r="C32">
        <v>103</v>
      </c>
      <c r="D32" s="3">
        <v>0.96050000000000002</v>
      </c>
      <c r="E32" s="3">
        <v>0.90100000000000002</v>
      </c>
      <c r="F32" s="3">
        <v>0.97</v>
      </c>
      <c r="G32" s="3">
        <v>1.2999999999999999E-2</v>
      </c>
      <c r="H32" s="3">
        <v>1.9E-2</v>
      </c>
      <c r="I32" s="3">
        <v>1.2E-2</v>
      </c>
      <c r="J32" s="3">
        <v>6.0000000000000001E-3</v>
      </c>
      <c r="K32" s="3">
        <v>3.0000000000000001E-3</v>
      </c>
      <c r="L32" s="3">
        <v>2.5999999999999999E-2</v>
      </c>
      <c r="M32">
        <v>9</v>
      </c>
      <c r="N32">
        <v>46</v>
      </c>
      <c r="O32">
        <v>21</v>
      </c>
      <c r="P32">
        <v>72</v>
      </c>
    </row>
    <row r="33" spans="1:16" x14ac:dyDescent="0.25">
      <c r="A33" t="s">
        <v>39</v>
      </c>
      <c r="B33" s="1">
        <v>0.33736111111111111</v>
      </c>
      <c r="C33">
        <v>47</v>
      </c>
      <c r="D33" s="3">
        <v>0.76829999999999998</v>
      </c>
      <c r="E33" s="3">
        <v>0.70599999999999996</v>
      </c>
      <c r="F33" s="3">
        <v>0.80200000000000005</v>
      </c>
      <c r="G33" s="3">
        <v>4.7E-2</v>
      </c>
      <c r="H33" s="3">
        <v>6.4000000000000001E-2</v>
      </c>
      <c r="I33" s="3">
        <v>3.7999999999999999E-2</v>
      </c>
      <c r="J33" s="3">
        <v>2.1999999999999999E-2</v>
      </c>
      <c r="K33" s="3">
        <v>0.01</v>
      </c>
      <c r="L33" s="3">
        <v>4.1000000000000002E-2</v>
      </c>
      <c r="M33">
        <v>3</v>
      </c>
      <c r="N33">
        <v>18</v>
      </c>
      <c r="O33">
        <v>7</v>
      </c>
      <c r="P33">
        <v>27</v>
      </c>
    </row>
    <row r="34" spans="1:16" x14ac:dyDescent="0.25">
      <c r="A34" t="s">
        <v>40</v>
      </c>
      <c r="B34" s="1">
        <v>0.3661921296296296</v>
      </c>
      <c r="C34">
        <v>83</v>
      </c>
      <c r="D34" s="3">
        <v>0.90620000000000001</v>
      </c>
      <c r="E34" s="3">
        <v>0.84899999999999998</v>
      </c>
      <c r="F34" s="3">
        <v>0.92500000000000004</v>
      </c>
      <c r="G34" s="3">
        <v>2.4E-2</v>
      </c>
      <c r="H34" s="3">
        <v>3.1E-2</v>
      </c>
      <c r="I34" s="3">
        <v>2.1000000000000001E-2</v>
      </c>
      <c r="J34" s="3">
        <v>1.0999999999999999E-2</v>
      </c>
      <c r="K34" s="3">
        <v>5.0000000000000001E-3</v>
      </c>
      <c r="L34" s="3">
        <v>3.4000000000000002E-2</v>
      </c>
      <c r="M34">
        <v>7</v>
      </c>
      <c r="N34">
        <v>36</v>
      </c>
      <c r="O34">
        <v>15</v>
      </c>
      <c r="P34">
        <v>59</v>
      </c>
    </row>
    <row r="35" spans="1:16" x14ac:dyDescent="0.25">
      <c r="A35" t="s">
        <v>41</v>
      </c>
      <c r="B35" s="1">
        <v>0.33025462962962965</v>
      </c>
      <c r="C35">
        <v>40</v>
      </c>
      <c r="D35" s="3">
        <v>0.69840000000000002</v>
      </c>
      <c r="E35" s="3">
        <v>0.64200000000000002</v>
      </c>
      <c r="F35" s="3">
        <v>0.73499999999999999</v>
      </c>
      <c r="G35" s="3">
        <v>5.8000000000000003E-2</v>
      </c>
      <c r="H35" s="3">
        <v>7.5999999999999998E-2</v>
      </c>
      <c r="I35" s="3">
        <v>4.4999999999999998E-2</v>
      </c>
      <c r="J35" s="3">
        <v>2.5000000000000001E-2</v>
      </c>
      <c r="K35" s="3">
        <v>1.2999999999999999E-2</v>
      </c>
      <c r="L35" s="3">
        <v>4.1000000000000002E-2</v>
      </c>
      <c r="M35">
        <v>2</v>
      </c>
      <c r="N35">
        <v>16</v>
      </c>
      <c r="O35">
        <v>5</v>
      </c>
      <c r="P35">
        <v>22</v>
      </c>
    </row>
    <row r="36" spans="1:16" x14ac:dyDescent="0.25">
      <c r="A36" t="s">
        <v>42</v>
      </c>
      <c r="B36" s="1">
        <v>0.37414351851851851</v>
      </c>
      <c r="C36">
        <v>88</v>
      </c>
      <c r="D36" s="3">
        <v>0.93420000000000003</v>
      </c>
      <c r="E36" s="3">
        <v>0.872</v>
      </c>
      <c r="F36" s="3">
        <v>0.94799999999999995</v>
      </c>
      <c r="G36" s="3">
        <v>1.9E-2</v>
      </c>
      <c r="H36" s="3">
        <v>2.5000000000000001E-2</v>
      </c>
      <c r="I36" s="3">
        <v>1.6E-2</v>
      </c>
      <c r="J36" s="3">
        <v>8.9999999999999993E-3</v>
      </c>
      <c r="K36" s="3">
        <v>4.0000000000000001E-3</v>
      </c>
      <c r="L36" s="3">
        <v>3.5999999999999997E-2</v>
      </c>
      <c r="M36">
        <v>8</v>
      </c>
      <c r="N36">
        <v>38</v>
      </c>
      <c r="O36">
        <v>17</v>
      </c>
      <c r="P36">
        <v>62</v>
      </c>
    </row>
    <row r="37" spans="1:16" x14ac:dyDescent="0.25">
      <c r="A37" t="s">
        <v>43</v>
      </c>
      <c r="B37" s="1">
        <v>0.35343750000000002</v>
      </c>
      <c r="C37">
        <v>61</v>
      </c>
      <c r="D37" s="3">
        <v>0.84160000000000001</v>
      </c>
      <c r="E37" s="3">
        <v>0.78100000000000003</v>
      </c>
      <c r="F37" s="3">
        <v>0.872</v>
      </c>
      <c r="G37" s="3">
        <v>3.5000000000000003E-2</v>
      </c>
      <c r="H37" s="3">
        <v>4.7E-2</v>
      </c>
      <c r="I37" s="3">
        <v>2.9000000000000001E-2</v>
      </c>
      <c r="J37" s="3">
        <v>1.6E-2</v>
      </c>
      <c r="K37" s="3">
        <v>8.0000000000000002E-3</v>
      </c>
      <c r="L37" s="3">
        <v>4.3999999999999997E-2</v>
      </c>
      <c r="M37">
        <v>5</v>
      </c>
      <c r="N37">
        <v>27</v>
      </c>
      <c r="O37">
        <v>10</v>
      </c>
      <c r="P37">
        <v>43</v>
      </c>
    </row>
    <row r="38" spans="1:16" x14ac:dyDescent="0.25">
      <c r="A38" t="s">
        <v>44</v>
      </c>
      <c r="B38" s="1">
        <v>0.38567129629629632</v>
      </c>
      <c r="C38">
        <v>108</v>
      </c>
      <c r="D38" s="3">
        <v>0.97119999999999995</v>
      </c>
      <c r="E38" s="3">
        <v>0.91300000000000003</v>
      </c>
      <c r="F38" s="3">
        <v>0.97599999999999998</v>
      </c>
      <c r="G38" s="3">
        <v>0.01</v>
      </c>
      <c r="H38" s="3">
        <v>1.4999999999999999E-2</v>
      </c>
      <c r="I38" s="3">
        <v>0.01</v>
      </c>
      <c r="J38" s="3">
        <v>5.0000000000000001E-3</v>
      </c>
      <c r="K38" s="3">
        <v>2E-3</v>
      </c>
      <c r="L38" s="3">
        <v>1.9E-2</v>
      </c>
      <c r="M38">
        <v>10</v>
      </c>
      <c r="N38">
        <v>50</v>
      </c>
      <c r="O38">
        <v>23</v>
      </c>
      <c r="P38">
        <v>78</v>
      </c>
    </row>
    <row r="39" spans="1:16" x14ac:dyDescent="0.25">
      <c r="A39" t="s">
        <v>45</v>
      </c>
      <c r="B39" s="1">
        <v>0.32127314814814817</v>
      </c>
      <c r="C39">
        <v>36</v>
      </c>
      <c r="D39" s="3">
        <v>0.67949999999999999</v>
      </c>
      <c r="E39" s="3">
        <v>0.627</v>
      </c>
      <c r="F39" s="3">
        <v>0.71799999999999997</v>
      </c>
      <c r="G39" s="3">
        <v>6.3E-2</v>
      </c>
      <c r="H39" s="3">
        <v>8.4000000000000005E-2</v>
      </c>
      <c r="I39" s="3">
        <v>0.05</v>
      </c>
      <c r="J39" s="3">
        <v>2.8000000000000001E-2</v>
      </c>
      <c r="K39" s="3">
        <v>1.4999999999999999E-2</v>
      </c>
      <c r="L39" s="3">
        <v>3.9E-2</v>
      </c>
      <c r="M39">
        <v>2</v>
      </c>
      <c r="N39">
        <v>13</v>
      </c>
      <c r="O39">
        <v>4</v>
      </c>
      <c r="P39">
        <v>19</v>
      </c>
    </row>
    <row r="40" spans="1:16" x14ac:dyDescent="0.25">
      <c r="A40" t="s">
        <v>46</v>
      </c>
      <c r="B40" s="1">
        <v>0.35850694444444442</v>
      </c>
      <c r="C40">
        <v>78</v>
      </c>
      <c r="D40" s="3">
        <v>0.8831</v>
      </c>
      <c r="E40" s="3">
        <v>0.82</v>
      </c>
      <c r="F40" s="3">
        <v>0.90100000000000002</v>
      </c>
      <c r="G40" s="3">
        <v>2.9000000000000001E-2</v>
      </c>
      <c r="H40" s="3">
        <v>3.7999999999999999E-2</v>
      </c>
      <c r="I40" s="3">
        <v>2.5000000000000001E-2</v>
      </c>
      <c r="J40" s="3">
        <v>1.4E-2</v>
      </c>
      <c r="K40" s="3">
        <v>6.0000000000000001E-3</v>
      </c>
      <c r="L40" s="3">
        <v>4.7E-2</v>
      </c>
      <c r="M40">
        <v>6</v>
      </c>
      <c r="N40">
        <v>32</v>
      </c>
      <c r="O40">
        <v>14</v>
      </c>
      <c r="P40">
        <v>54</v>
      </c>
    </row>
    <row r="41" spans="1:16" x14ac:dyDescent="0.25">
      <c r="A41" t="s">
        <v>47</v>
      </c>
      <c r="B41" s="1">
        <v>0.3422337962962963</v>
      </c>
      <c r="C41">
        <v>51</v>
      </c>
      <c r="D41" s="3">
        <v>0.80730000000000002</v>
      </c>
      <c r="E41" s="3">
        <v>0.745</v>
      </c>
      <c r="F41" s="3">
        <v>0.83799999999999997</v>
      </c>
      <c r="G41" s="3">
        <v>4.1000000000000002E-2</v>
      </c>
      <c r="H41" s="3">
        <v>5.5E-2</v>
      </c>
      <c r="I41" s="3">
        <v>3.3000000000000002E-2</v>
      </c>
      <c r="J41" s="3">
        <v>1.9E-2</v>
      </c>
      <c r="K41" s="3">
        <v>8.9999999999999993E-3</v>
      </c>
      <c r="L41" s="3">
        <v>4.4999999999999998E-2</v>
      </c>
      <c r="M41">
        <v>4</v>
      </c>
      <c r="N41">
        <v>22</v>
      </c>
      <c r="O41">
        <v>8</v>
      </c>
      <c r="P41">
        <v>32</v>
      </c>
    </row>
    <row r="42" spans="1:16" x14ac:dyDescent="0.25">
      <c r="A42" t="s">
        <v>48</v>
      </c>
      <c r="B42" s="1">
        <v>0.36952546296296296</v>
      </c>
      <c r="C42">
        <v>86</v>
      </c>
      <c r="D42" s="3">
        <v>0.91479999999999995</v>
      </c>
      <c r="E42" s="3">
        <v>0.85699999999999998</v>
      </c>
      <c r="F42" s="3">
        <v>0.93</v>
      </c>
      <c r="G42" s="3">
        <v>2.1999999999999999E-2</v>
      </c>
      <c r="H42" s="3">
        <v>0.03</v>
      </c>
      <c r="I42" s="3">
        <v>0.02</v>
      </c>
      <c r="J42" s="3">
        <v>1.0999999999999999E-2</v>
      </c>
      <c r="K42" s="3">
        <v>5.0000000000000001E-3</v>
      </c>
      <c r="L42" s="3">
        <v>3.5000000000000003E-2</v>
      </c>
      <c r="M42">
        <v>7</v>
      </c>
      <c r="N42">
        <v>38</v>
      </c>
      <c r="O42">
        <v>16</v>
      </c>
      <c r="P42">
        <v>60</v>
      </c>
    </row>
    <row r="43" spans="1:16" x14ac:dyDescent="0.25">
      <c r="A43" t="s">
        <v>49</v>
      </c>
      <c r="B43" s="1">
        <v>0.34613425925925928</v>
      </c>
      <c r="C43">
        <v>55</v>
      </c>
      <c r="D43" s="3">
        <v>0.82940000000000003</v>
      </c>
      <c r="E43" s="3">
        <v>0.76800000000000002</v>
      </c>
      <c r="F43" s="3">
        <v>0.85499999999999998</v>
      </c>
      <c r="G43" s="3">
        <v>3.7999999999999999E-2</v>
      </c>
      <c r="H43" s="3">
        <v>0.05</v>
      </c>
      <c r="I43" s="3">
        <v>3.1E-2</v>
      </c>
      <c r="J43" s="3">
        <v>1.7999999999999999E-2</v>
      </c>
      <c r="K43" s="3">
        <v>8.0000000000000002E-3</v>
      </c>
      <c r="L43" s="3">
        <v>0.04</v>
      </c>
      <c r="M43">
        <v>4</v>
      </c>
      <c r="N43">
        <v>23</v>
      </c>
      <c r="O43">
        <v>9</v>
      </c>
      <c r="P43">
        <v>36</v>
      </c>
    </row>
    <row r="44" spans="1:16" x14ac:dyDescent="0.25">
      <c r="A44" t="s">
        <v>50</v>
      </c>
      <c r="B44" s="1">
        <v>0.37755787037037036</v>
      </c>
      <c r="C44">
        <v>96</v>
      </c>
      <c r="D44" s="3">
        <v>0.94669999999999999</v>
      </c>
      <c r="E44" s="3">
        <v>0.88900000000000001</v>
      </c>
      <c r="F44" s="3">
        <v>0.95699999999999996</v>
      </c>
      <c r="G44" s="3">
        <v>1.6E-2</v>
      </c>
      <c r="H44" s="3">
        <v>2.3E-2</v>
      </c>
      <c r="I44" s="3">
        <v>1.4999999999999999E-2</v>
      </c>
      <c r="J44" s="3">
        <v>8.0000000000000002E-3</v>
      </c>
      <c r="K44" s="3">
        <v>3.0000000000000001E-3</v>
      </c>
      <c r="L44" s="3">
        <v>2.9000000000000001E-2</v>
      </c>
      <c r="M44">
        <v>8</v>
      </c>
      <c r="N44">
        <v>43</v>
      </c>
      <c r="O44">
        <v>19</v>
      </c>
      <c r="P44">
        <v>67</v>
      </c>
    </row>
    <row r="45" spans="1:16" x14ac:dyDescent="0.25">
      <c r="A45" t="s">
        <v>51</v>
      </c>
      <c r="B45" s="1">
        <v>0.33186342592592594</v>
      </c>
      <c r="C45">
        <v>44</v>
      </c>
      <c r="D45" s="3">
        <v>0.74360000000000004</v>
      </c>
      <c r="E45" s="3">
        <v>0.68899999999999995</v>
      </c>
      <c r="F45" s="3">
        <v>0.78</v>
      </c>
      <c r="G45" s="3">
        <v>4.9000000000000002E-2</v>
      </c>
      <c r="H45" s="3">
        <v>6.8000000000000005E-2</v>
      </c>
      <c r="I45" s="3">
        <v>0.04</v>
      </c>
      <c r="J45" s="3">
        <v>2.3E-2</v>
      </c>
      <c r="K45" s="3">
        <v>1.0999999999999999E-2</v>
      </c>
      <c r="L45" s="3">
        <v>3.9E-2</v>
      </c>
      <c r="M45">
        <v>3</v>
      </c>
      <c r="N45">
        <v>17</v>
      </c>
      <c r="O45">
        <v>6</v>
      </c>
      <c r="P45">
        <v>25</v>
      </c>
    </row>
    <row r="46" spans="1:16" x14ac:dyDescent="0.25">
      <c r="A46" t="s">
        <v>52</v>
      </c>
      <c r="B46" s="1">
        <v>0.3621759259259259</v>
      </c>
      <c r="C46">
        <v>71</v>
      </c>
      <c r="D46" s="3">
        <v>0.87839999999999996</v>
      </c>
      <c r="E46" s="3">
        <v>0.81599999999999995</v>
      </c>
      <c r="F46" s="3">
        <v>0.89900000000000002</v>
      </c>
      <c r="G46" s="3">
        <v>0.03</v>
      </c>
      <c r="H46" s="3">
        <v>4.1000000000000002E-2</v>
      </c>
      <c r="I46" s="3">
        <v>2.5999999999999999E-2</v>
      </c>
      <c r="J46" s="3">
        <v>1.4E-2</v>
      </c>
      <c r="K46" s="3">
        <v>7.0000000000000001E-3</v>
      </c>
      <c r="L46" s="3">
        <v>4.1000000000000002E-2</v>
      </c>
      <c r="M46">
        <v>5</v>
      </c>
      <c r="N46">
        <v>31</v>
      </c>
      <c r="O46">
        <v>13</v>
      </c>
      <c r="P46">
        <v>49</v>
      </c>
    </row>
    <row r="47" spans="1:16" x14ac:dyDescent="0.25">
      <c r="A47" t="s">
        <v>53</v>
      </c>
      <c r="B47" s="1">
        <v>0.35159722222222223</v>
      </c>
      <c r="C47">
        <v>59</v>
      </c>
      <c r="D47" s="3">
        <v>0.84909999999999997</v>
      </c>
      <c r="E47" s="3">
        <v>0.78600000000000003</v>
      </c>
      <c r="F47" s="3">
        <v>0.86799999999999999</v>
      </c>
      <c r="G47" s="3">
        <v>3.5999999999999997E-2</v>
      </c>
      <c r="H47" s="3">
        <v>4.8000000000000001E-2</v>
      </c>
      <c r="I47" s="3">
        <v>0.03</v>
      </c>
      <c r="J47" s="3">
        <v>1.7000000000000001E-2</v>
      </c>
      <c r="K47" s="3">
        <v>8.0000000000000002E-3</v>
      </c>
      <c r="L47" s="3">
        <v>4.2999999999999997E-2</v>
      </c>
      <c r="M47">
        <v>4</v>
      </c>
      <c r="N47">
        <v>26</v>
      </c>
      <c r="O47">
        <v>10</v>
      </c>
      <c r="P47">
        <v>40</v>
      </c>
    </row>
    <row r="48" spans="1:16" x14ac:dyDescent="0.25">
      <c r="A48" t="s">
        <v>54</v>
      </c>
      <c r="B48" s="1">
        <v>0.38038194444444445</v>
      </c>
      <c r="C48">
        <v>99</v>
      </c>
      <c r="D48" s="3">
        <v>0.95320000000000005</v>
      </c>
      <c r="E48" s="3">
        <v>0.89400000000000002</v>
      </c>
      <c r="F48" s="3">
        <v>0.96399999999999997</v>
      </c>
      <c r="G48" s="3">
        <v>1.4E-2</v>
      </c>
      <c r="H48" s="3">
        <v>2.1000000000000001E-2</v>
      </c>
      <c r="I48" s="3">
        <v>1.4E-2</v>
      </c>
      <c r="J48" s="3">
        <v>7.0000000000000001E-3</v>
      </c>
      <c r="K48" s="3">
        <v>3.0000000000000001E-3</v>
      </c>
      <c r="L48" s="3">
        <v>2.4E-2</v>
      </c>
      <c r="M48">
        <v>9</v>
      </c>
      <c r="N48">
        <v>45</v>
      </c>
      <c r="O48">
        <v>20</v>
      </c>
      <c r="P48">
        <v>71</v>
      </c>
    </row>
    <row r="49" spans="1:16" x14ac:dyDescent="0.25">
      <c r="A49" t="s">
        <v>55</v>
      </c>
      <c r="B49" s="1">
        <v>0.33572916666666669</v>
      </c>
      <c r="C49">
        <v>46</v>
      </c>
      <c r="D49" s="3">
        <v>0.77180000000000004</v>
      </c>
      <c r="E49" s="3">
        <v>0.71</v>
      </c>
      <c r="F49" s="3">
        <v>0.81</v>
      </c>
      <c r="G49" s="3">
        <v>4.4999999999999998E-2</v>
      </c>
      <c r="H49" s="3">
        <v>0.06</v>
      </c>
      <c r="I49" s="3">
        <v>3.6999999999999998E-2</v>
      </c>
      <c r="J49" s="3">
        <v>2.1000000000000001E-2</v>
      </c>
      <c r="K49" s="3">
        <v>0.01</v>
      </c>
      <c r="L49" s="3">
        <v>4.5999999999999999E-2</v>
      </c>
      <c r="M49">
        <v>3</v>
      </c>
      <c r="N49">
        <v>19</v>
      </c>
      <c r="O49">
        <v>7</v>
      </c>
      <c r="P49">
        <v>28</v>
      </c>
    </row>
    <row r="50" spans="1:16" x14ac:dyDescent="0.25">
      <c r="A50" t="s">
        <v>56</v>
      </c>
      <c r="B50" s="1">
        <v>0.36798611111111112</v>
      </c>
      <c r="C50">
        <v>82</v>
      </c>
      <c r="D50" s="3">
        <v>0.90129999999999999</v>
      </c>
      <c r="E50" s="3">
        <v>0.84199999999999997</v>
      </c>
      <c r="F50" s="3">
        <v>0.92</v>
      </c>
      <c r="G50" s="3">
        <v>2.5999999999999999E-2</v>
      </c>
      <c r="H50" s="3">
        <v>3.3000000000000002E-2</v>
      </c>
      <c r="I50" s="3">
        <v>2.1999999999999999E-2</v>
      </c>
      <c r="J50" s="3">
        <v>1.2E-2</v>
      </c>
      <c r="K50" s="3">
        <v>5.0000000000000001E-3</v>
      </c>
      <c r="L50" s="3">
        <v>0.04</v>
      </c>
      <c r="M50">
        <v>7</v>
      </c>
      <c r="N50">
        <v>35</v>
      </c>
      <c r="O50">
        <v>15</v>
      </c>
      <c r="P50">
        <v>57</v>
      </c>
    </row>
    <row r="51" spans="1:16" x14ac:dyDescent="0.25">
      <c r="A51" t="s">
        <v>57</v>
      </c>
      <c r="B51" s="1">
        <v>0.35718749999999999</v>
      </c>
      <c r="C51">
        <v>67</v>
      </c>
      <c r="D51" s="3">
        <v>0.86750000000000005</v>
      </c>
      <c r="E51" s="3">
        <v>0.80900000000000005</v>
      </c>
      <c r="F51" s="3">
        <v>0.88600000000000001</v>
      </c>
      <c r="G51" s="3">
        <v>3.1E-2</v>
      </c>
      <c r="H51" s="3">
        <v>4.2000000000000003E-2</v>
      </c>
      <c r="I51" s="3">
        <v>2.7E-2</v>
      </c>
      <c r="J51" s="3">
        <v>1.4999999999999999E-2</v>
      </c>
      <c r="K51" s="3">
        <v>7.0000000000000001E-3</v>
      </c>
      <c r="L51" s="3">
        <v>4.2999999999999997E-2</v>
      </c>
      <c r="M51">
        <v>5</v>
      </c>
      <c r="N51">
        <v>29</v>
      </c>
      <c r="O51">
        <v>12</v>
      </c>
      <c r="P51">
        <v>45</v>
      </c>
    </row>
    <row r="52" spans="1:16" x14ac:dyDescent="0.25">
      <c r="B52" s="1">
        <v>0.37613425925925925</v>
      </c>
      <c r="C52">
        <v>91</v>
      </c>
      <c r="D52" s="3">
        <v>0.93759999999999999</v>
      </c>
      <c r="E52" s="3">
        <v>0.878</v>
      </c>
      <c r="F52" s="3">
        <v>0.94899999999999995</v>
      </c>
      <c r="G52" s="3">
        <v>1.7999999999999999E-2</v>
      </c>
      <c r="H52" s="3">
        <v>2.5999999999999999E-2</v>
      </c>
      <c r="I52" s="3">
        <v>1.7000000000000001E-2</v>
      </c>
      <c r="J52" s="3">
        <v>8.9999999999999993E-3</v>
      </c>
      <c r="K52" s="3">
        <v>4.0000000000000001E-3</v>
      </c>
      <c r="L52" s="3">
        <v>3.4000000000000002E-2</v>
      </c>
      <c r="M52">
        <v>8</v>
      </c>
      <c r="N52">
        <v>40</v>
      </c>
      <c r="O52">
        <v>17</v>
      </c>
      <c r="P52">
        <v>64</v>
      </c>
    </row>
    <row r="53" spans="1:16" x14ac:dyDescent="0.25">
      <c r="B53" s="1">
        <v>0.34365740740740741</v>
      </c>
      <c r="C53">
        <v>53</v>
      </c>
      <c r="D53" s="3">
        <v>0.81950000000000001</v>
      </c>
      <c r="E53" s="3">
        <v>0.75700000000000001</v>
      </c>
      <c r="F53" s="3">
        <v>0.84899999999999998</v>
      </c>
      <c r="G53" s="3">
        <v>3.9E-2</v>
      </c>
      <c r="H53" s="3">
        <v>5.2999999999999999E-2</v>
      </c>
      <c r="I53" s="3">
        <v>3.2000000000000001E-2</v>
      </c>
      <c r="J53" s="3">
        <v>1.7999999999999999E-2</v>
      </c>
      <c r="K53" s="3">
        <v>8.9999999999999993E-3</v>
      </c>
      <c r="L53" s="3">
        <v>4.2000000000000003E-2</v>
      </c>
      <c r="M53">
        <v>4</v>
      </c>
      <c r="N53">
        <v>22</v>
      </c>
      <c r="O53">
        <v>9</v>
      </c>
      <c r="P53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92454-B994-497A-AFA8-E5655D4E1154}">
  <sheetPr codeName="Sheet4"/>
  <dimension ref="A1:J51"/>
  <sheetViews>
    <sheetView workbookViewId="0">
      <selection activeCell="B1" sqref="B1:J51"/>
    </sheetView>
  </sheetViews>
  <sheetFormatPr defaultRowHeight="15" x14ac:dyDescent="0.25"/>
  <cols>
    <col min="1" max="1" width="21.7109375" bestFit="1" customWidth="1"/>
    <col min="4" max="4" width="16.28515625" bestFit="1" customWidth="1"/>
    <col min="10" max="10" width="22.140625" customWidth="1"/>
  </cols>
  <sheetData>
    <row r="1" spans="1:10" x14ac:dyDescent="0.25">
      <c r="A1" t="s">
        <v>0</v>
      </c>
      <c r="B1" t="s">
        <v>60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 x14ac:dyDescent="0.25">
      <c r="A2" t="s">
        <v>8</v>
      </c>
      <c r="B2">
        <v>98</v>
      </c>
      <c r="C2" s="3">
        <v>0</v>
      </c>
      <c r="D2" s="3">
        <v>0</v>
      </c>
      <c r="E2" s="3">
        <v>0</v>
      </c>
      <c r="F2" s="3">
        <v>0.10290000000000001</v>
      </c>
      <c r="G2" s="3">
        <v>0</v>
      </c>
      <c r="H2" s="1">
        <v>2.9282407407407408E-3</v>
      </c>
      <c r="I2" s="1">
        <v>1.1574074074074073E-5</v>
      </c>
      <c r="J2" s="1">
        <v>1.0416666666666667E-4</v>
      </c>
    </row>
    <row r="3" spans="1:10" x14ac:dyDescent="0.25">
      <c r="A3" t="s">
        <v>9</v>
      </c>
      <c r="B3">
        <v>23</v>
      </c>
      <c r="C3" s="3">
        <v>0</v>
      </c>
      <c r="D3" s="3">
        <v>0</v>
      </c>
      <c r="E3" s="3">
        <v>0</v>
      </c>
      <c r="F3" s="3">
        <v>0.10290000000000001</v>
      </c>
      <c r="G3" s="3">
        <v>0</v>
      </c>
      <c r="H3" s="1">
        <v>2.9282407407407408E-3</v>
      </c>
      <c r="I3" s="1">
        <v>1.1574074074074073E-5</v>
      </c>
      <c r="J3" s="1">
        <v>1.0416666666666667E-4</v>
      </c>
    </row>
    <row r="4" spans="1:10" x14ac:dyDescent="0.25">
      <c r="A4" t="s">
        <v>10</v>
      </c>
      <c r="B4">
        <v>28</v>
      </c>
      <c r="C4" s="3">
        <v>1.47E-2</v>
      </c>
      <c r="D4" s="3">
        <v>0</v>
      </c>
      <c r="E4" s="3">
        <v>0</v>
      </c>
      <c r="F4" s="3">
        <v>7.3499999999999996E-2</v>
      </c>
      <c r="G4" s="3">
        <v>0</v>
      </c>
      <c r="H4" s="1">
        <v>2.8935185185185184E-3</v>
      </c>
      <c r="I4" s="1">
        <v>0</v>
      </c>
      <c r="J4" s="1">
        <v>8.1018518518518516E-5</v>
      </c>
    </row>
    <row r="5" spans="1:10" x14ac:dyDescent="0.25">
      <c r="A5" t="s">
        <v>11</v>
      </c>
      <c r="B5">
        <v>29</v>
      </c>
      <c r="C5" s="3">
        <v>1.47E-2</v>
      </c>
      <c r="D5" s="3">
        <v>0</v>
      </c>
      <c r="E5" s="3">
        <v>0</v>
      </c>
      <c r="F5" s="3">
        <v>7.3499999999999996E-2</v>
      </c>
      <c r="G5" s="3">
        <v>0</v>
      </c>
      <c r="H5" s="1">
        <v>2.8935185185185184E-3</v>
      </c>
      <c r="I5" s="1">
        <v>0</v>
      </c>
      <c r="J5" s="1">
        <v>8.1018518518518516E-5</v>
      </c>
    </row>
    <row r="6" spans="1:10" x14ac:dyDescent="0.25">
      <c r="A6" t="s">
        <v>12</v>
      </c>
      <c r="B6">
        <v>93</v>
      </c>
      <c r="C6" s="3">
        <v>8.3299999999999999E-2</v>
      </c>
      <c r="D6" s="3">
        <v>0</v>
      </c>
      <c r="E6" s="3">
        <v>0</v>
      </c>
      <c r="F6" s="3">
        <v>0.16669999999999999</v>
      </c>
      <c r="G6" s="3">
        <v>0.1</v>
      </c>
      <c r="H6" s="1">
        <v>3.0671296296296297E-3</v>
      </c>
      <c r="I6" s="1">
        <v>6.8287037037037036E-4</v>
      </c>
      <c r="J6" s="1">
        <v>1.273148148148148E-4</v>
      </c>
    </row>
    <row r="7" spans="1:10" x14ac:dyDescent="0.25">
      <c r="A7" t="s">
        <v>13</v>
      </c>
      <c r="B7">
        <v>92</v>
      </c>
      <c r="C7" s="3">
        <v>8.3299999999999999E-2</v>
      </c>
      <c r="D7" s="3">
        <v>0</v>
      </c>
      <c r="E7" s="3">
        <v>0</v>
      </c>
      <c r="F7" s="3">
        <v>0.16669999999999999</v>
      </c>
      <c r="G7" s="3">
        <v>0.1</v>
      </c>
      <c r="H7" s="1">
        <v>3.0671296296296297E-3</v>
      </c>
      <c r="I7" s="1">
        <v>6.8287037037037036E-4</v>
      </c>
      <c r="J7" s="1">
        <v>1.273148148148148E-4</v>
      </c>
    </row>
    <row r="8" spans="1:10" x14ac:dyDescent="0.25">
      <c r="A8" t="s">
        <v>14</v>
      </c>
      <c r="B8">
        <v>26</v>
      </c>
      <c r="C8" s="3">
        <v>5.45E-2</v>
      </c>
      <c r="D8" s="3">
        <v>0</v>
      </c>
      <c r="E8" s="3">
        <v>1.7899999999999999E-2</v>
      </c>
      <c r="F8" s="3">
        <v>0.1091</v>
      </c>
      <c r="G8" s="3">
        <v>0</v>
      </c>
      <c r="H8" s="1">
        <v>3.0787037037037037E-3</v>
      </c>
      <c r="I8" s="1">
        <v>0</v>
      </c>
      <c r="J8" s="1">
        <v>1.6203703703703703E-4</v>
      </c>
    </row>
    <row r="9" spans="1:10" x14ac:dyDescent="0.25">
      <c r="A9" t="s">
        <v>15</v>
      </c>
      <c r="B9">
        <v>90</v>
      </c>
      <c r="C9" s="3">
        <v>5.45E-2</v>
      </c>
      <c r="D9" s="3">
        <v>0</v>
      </c>
      <c r="E9" s="3">
        <v>1.7899999999999999E-2</v>
      </c>
      <c r="F9" s="3">
        <v>0.1091</v>
      </c>
      <c r="G9" s="3">
        <v>0</v>
      </c>
      <c r="H9" s="1">
        <v>3.0787037037037037E-3</v>
      </c>
      <c r="I9" s="1">
        <v>0</v>
      </c>
      <c r="J9" s="1">
        <v>1.6203703703703703E-4</v>
      </c>
    </row>
    <row r="10" spans="1:10" x14ac:dyDescent="0.25">
      <c r="A10" t="s">
        <v>16</v>
      </c>
      <c r="B10">
        <v>89</v>
      </c>
      <c r="C10" s="3">
        <v>0</v>
      </c>
      <c r="D10" s="3">
        <v>0</v>
      </c>
      <c r="E10" s="3">
        <v>0</v>
      </c>
      <c r="F10" s="3">
        <v>6.8199999999999997E-2</v>
      </c>
      <c r="G10" s="3">
        <v>0</v>
      </c>
      <c r="H10" s="1">
        <v>2.3842592592592591E-3</v>
      </c>
      <c r="I10" s="1">
        <v>3.4722222222222222E-5</v>
      </c>
      <c r="J10" s="1">
        <v>1.1574074074074075E-4</v>
      </c>
    </row>
    <row r="11" spans="1:10" x14ac:dyDescent="0.25">
      <c r="A11" t="s">
        <v>17</v>
      </c>
      <c r="B11">
        <v>54</v>
      </c>
      <c r="C11" s="3">
        <v>0</v>
      </c>
      <c r="D11" s="3">
        <v>0</v>
      </c>
      <c r="E11" s="3">
        <v>0</v>
      </c>
      <c r="F11" s="3">
        <v>6.8199999999999997E-2</v>
      </c>
      <c r="G11" s="3">
        <v>0</v>
      </c>
      <c r="H11" s="1">
        <v>2.3842592592592591E-3</v>
      </c>
      <c r="I11" s="1">
        <v>3.4722222222222222E-5</v>
      </c>
      <c r="J11" s="1">
        <v>1.1574074074074075E-4</v>
      </c>
    </row>
    <row r="12" spans="1:10" x14ac:dyDescent="0.25">
      <c r="A12" t="s">
        <v>18</v>
      </c>
      <c r="B12">
        <v>87</v>
      </c>
      <c r="C12" s="3">
        <v>0</v>
      </c>
      <c r="D12" s="3">
        <v>0</v>
      </c>
      <c r="E12" s="3">
        <v>0</v>
      </c>
      <c r="F12" s="3">
        <v>6.5199999999999994E-2</v>
      </c>
      <c r="G12" s="3">
        <v>0</v>
      </c>
      <c r="H12" s="1">
        <v>2.7083333333333334E-3</v>
      </c>
      <c r="I12" s="1">
        <v>5.9027777777777778E-4</v>
      </c>
      <c r="J12" s="1">
        <v>3.1250000000000001E-4</v>
      </c>
    </row>
    <row r="13" spans="1:10" x14ac:dyDescent="0.25">
      <c r="A13" t="s">
        <v>19</v>
      </c>
      <c r="B13">
        <v>65</v>
      </c>
      <c r="C13" s="3">
        <v>0</v>
      </c>
      <c r="D13" s="3">
        <v>0</v>
      </c>
      <c r="E13" s="3">
        <v>0</v>
      </c>
      <c r="F13" s="3">
        <v>6.5199999999999994E-2</v>
      </c>
      <c r="G13" s="3">
        <v>0</v>
      </c>
      <c r="H13" s="1">
        <v>2.7083333333333334E-3</v>
      </c>
      <c r="I13" s="1">
        <v>5.9027777777777778E-4</v>
      </c>
      <c r="J13" s="1">
        <v>3.1250000000000001E-4</v>
      </c>
    </row>
    <row r="14" spans="1:10" x14ac:dyDescent="0.25">
      <c r="A14" t="s">
        <v>20</v>
      </c>
      <c r="B14">
        <v>85</v>
      </c>
      <c r="C14" s="3">
        <v>0</v>
      </c>
      <c r="D14" s="3">
        <v>0</v>
      </c>
      <c r="E14" s="3">
        <v>0</v>
      </c>
      <c r="F14" s="3">
        <v>7.6899999999999996E-2</v>
      </c>
      <c r="G14" s="3">
        <v>0</v>
      </c>
      <c r="H14" s="1">
        <v>2.8587962962962963E-3</v>
      </c>
      <c r="I14" s="1">
        <v>0</v>
      </c>
      <c r="J14" s="1">
        <v>4.6296296296296294E-5</v>
      </c>
    </row>
    <row r="15" spans="1:10" x14ac:dyDescent="0.25">
      <c r="A15" t="s">
        <v>21</v>
      </c>
      <c r="B15">
        <v>65</v>
      </c>
      <c r="C15" s="3">
        <v>0</v>
      </c>
      <c r="D15" s="3">
        <v>0</v>
      </c>
      <c r="E15" s="3">
        <v>0</v>
      </c>
      <c r="F15" s="3">
        <v>7.6899999999999996E-2</v>
      </c>
      <c r="G15" s="3">
        <v>0</v>
      </c>
      <c r="H15" s="1">
        <v>2.8587962962962963E-3</v>
      </c>
      <c r="I15" s="1">
        <v>0</v>
      </c>
      <c r="J15" s="1">
        <v>4.6296296296296294E-5</v>
      </c>
    </row>
    <row r="16" spans="1:10" x14ac:dyDescent="0.25">
      <c r="A16" t="s">
        <v>22</v>
      </c>
      <c r="B16">
        <v>83</v>
      </c>
      <c r="C16" s="3">
        <v>9.64E-2</v>
      </c>
      <c r="D16" s="3">
        <v>0</v>
      </c>
      <c r="E16" s="3">
        <v>1.1900000000000001E-2</v>
      </c>
      <c r="F16" s="3">
        <v>0.13250000000000001</v>
      </c>
      <c r="G16" s="3">
        <v>9.0899999999999995E-2</v>
      </c>
      <c r="H16" s="1">
        <v>2.7083333333333334E-3</v>
      </c>
      <c r="I16" s="1">
        <v>3.0092592592592595E-4</v>
      </c>
      <c r="J16" s="1">
        <v>1.8518518518518518E-4</v>
      </c>
    </row>
    <row r="17" spans="1:10" x14ac:dyDescent="0.25">
      <c r="A17" t="s">
        <v>23</v>
      </c>
      <c r="B17">
        <v>82</v>
      </c>
      <c r="C17" s="3">
        <v>9.64E-2</v>
      </c>
      <c r="D17" s="3">
        <v>0</v>
      </c>
      <c r="E17" s="3">
        <v>1.1900000000000001E-2</v>
      </c>
      <c r="F17" s="3">
        <v>0.13250000000000001</v>
      </c>
      <c r="G17" s="3">
        <v>9.0899999999999995E-2</v>
      </c>
      <c r="H17" s="1">
        <v>2.7083333333333334E-3</v>
      </c>
      <c r="I17" s="1">
        <v>3.0092592592592595E-4</v>
      </c>
      <c r="J17" s="1">
        <v>1.8518518518518518E-4</v>
      </c>
    </row>
    <row r="18" spans="1:10" x14ac:dyDescent="0.25">
      <c r="A18" t="s">
        <v>24</v>
      </c>
      <c r="B18">
        <v>81</v>
      </c>
      <c r="C18" s="3">
        <v>3.0300000000000001E-2</v>
      </c>
      <c r="D18" s="3">
        <v>0</v>
      </c>
      <c r="E18" s="3">
        <v>2.86E-2</v>
      </c>
      <c r="F18" s="3">
        <v>7.5800000000000006E-2</v>
      </c>
      <c r="G18" s="3">
        <v>0</v>
      </c>
      <c r="H18" s="1">
        <v>2.9861111111111113E-3</v>
      </c>
      <c r="I18" s="1">
        <v>4.6296296296296294E-5</v>
      </c>
      <c r="J18" s="1">
        <v>8.1018518518518516E-5</v>
      </c>
    </row>
    <row r="19" spans="1:10" x14ac:dyDescent="0.25">
      <c r="A19" t="s">
        <v>25</v>
      </c>
      <c r="B19">
        <v>80</v>
      </c>
      <c r="C19" s="3">
        <v>3.0300000000000001E-2</v>
      </c>
      <c r="D19" s="3">
        <v>0</v>
      </c>
      <c r="E19" s="3">
        <v>2.86E-2</v>
      </c>
      <c r="F19" s="3">
        <v>7.5800000000000006E-2</v>
      </c>
      <c r="G19" s="3">
        <v>0</v>
      </c>
      <c r="H19" s="1">
        <v>2.9861111111111113E-3</v>
      </c>
      <c r="I19" s="1">
        <v>4.6296296296296294E-5</v>
      </c>
      <c r="J19" s="1">
        <v>8.1018518518518516E-5</v>
      </c>
    </row>
    <row r="20" spans="1:10" x14ac:dyDescent="0.25">
      <c r="A20" t="s">
        <v>26</v>
      </c>
      <c r="B20">
        <v>79</v>
      </c>
      <c r="C20" s="3">
        <v>2.5000000000000001E-2</v>
      </c>
      <c r="D20" s="3">
        <v>0</v>
      </c>
      <c r="E20" s="3">
        <v>0</v>
      </c>
      <c r="F20" s="3">
        <v>8.7499999999999994E-2</v>
      </c>
      <c r="G20" s="3">
        <v>0</v>
      </c>
      <c r="H20" s="1">
        <v>2.8356481481481483E-3</v>
      </c>
      <c r="I20" s="1">
        <v>2.3148148148148147E-5</v>
      </c>
      <c r="J20" s="1">
        <v>9.2592592592592588E-5</v>
      </c>
    </row>
    <row r="21" spans="1:10" x14ac:dyDescent="0.25">
      <c r="A21" t="s">
        <v>27</v>
      </c>
      <c r="B21">
        <v>78</v>
      </c>
      <c r="C21" s="3">
        <v>4.1700000000000001E-2</v>
      </c>
      <c r="D21" s="3">
        <v>0</v>
      </c>
      <c r="E21" s="3">
        <v>1.2500000000000001E-2</v>
      </c>
      <c r="F21" s="3">
        <v>9.5799999999999996E-2</v>
      </c>
      <c r="G21" s="3">
        <v>0</v>
      </c>
      <c r="H21" s="1">
        <v>2.9166666666666668E-3</v>
      </c>
      <c r="I21" s="1">
        <v>5.7870370370370373E-5</v>
      </c>
      <c r="J21" s="1">
        <v>1.1574074074074075E-4</v>
      </c>
    </row>
    <row r="22" spans="1:10" x14ac:dyDescent="0.25">
      <c r="A22" t="s">
        <v>28</v>
      </c>
      <c r="B22">
        <v>76</v>
      </c>
      <c r="C22" s="3">
        <v>6.25E-2</v>
      </c>
      <c r="D22" s="3">
        <v>0</v>
      </c>
      <c r="E22" s="3">
        <v>0</v>
      </c>
      <c r="F22" s="3">
        <v>0.11459999999999999</v>
      </c>
      <c r="G22" s="3">
        <v>8.3299999999999999E-2</v>
      </c>
      <c r="H22" s="1">
        <v>3.0092592592592593E-3</v>
      </c>
      <c r="I22" s="1">
        <v>3.5879629629629629E-4</v>
      </c>
      <c r="J22" s="1">
        <v>1.5046296296296297E-4</v>
      </c>
    </row>
    <row r="23" spans="1:10" x14ac:dyDescent="0.25">
      <c r="A23" t="s">
        <v>29</v>
      </c>
      <c r="B23">
        <v>75</v>
      </c>
      <c r="C23" s="3">
        <v>0.05</v>
      </c>
      <c r="D23" s="3">
        <v>0</v>
      </c>
      <c r="E23" s="3">
        <v>1.3299999999999999E-2</v>
      </c>
      <c r="F23" s="3">
        <v>0.1067</v>
      </c>
      <c r="G23" s="3">
        <v>0.05</v>
      </c>
      <c r="H23" s="1">
        <v>2.7546296296296294E-3</v>
      </c>
      <c r="I23" s="1">
        <v>2.0833333333333335E-4</v>
      </c>
      <c r="J23" s="1">
        <v>1.3888888888888889E-4</v>
      </c>
    </row>
    <row r="24" spans="1:10" x14ac:dyDescent="0.25">
      <c r="A24" t="s">
        <v>30</v>
      </c>
      <c r="B24">
        <v>74</v>
      </c>
      <c r="C24" s="3">
        <v>0</v>
      </c>
      <c r="D24" s="3">
        <v>0</v>
      </c>
      <c r="E24" s="3">
        <v>0</v>
      </c>
      <c r="F24" s="3">
        <v>6.7599999999999993E-2</v>
      </c>
      <c r="G24" s="3">
        <v>0</v>
      </c>
      <c r="H24" s="1">
        <v>2.6041666666666665E-3</v>
      </c>
      <c r="I24" s="1">
        <v>1.1574074074074073E-5</v>
      </c>
      <c r="J24" s="1">
        <v>6.9444444444444444E-5</v>
      </c>
    </row>
    <row r="25" spans="1:10" x14ac:dyDescent="0.25">
      <c r="A25" t="s">
        <v>31</v>
      </c>
      <c r="B25">
        <v>73</v>
      </c>
      <c r="C25" s="3">
        <v>3.85E-2</v>
      </c>
      <c r="D25" s="3">
        <v>0</v>
      </c>
      <c r="E25" s="3">
        <v>1.37E-2</v>
      </c>
      <c r="F25" s="3">
        <v>9.5899999999999999E-2</v>
      </c>
      <c r="G25" s="3">
        <v>0</v>
      </c>
      <c r="H25" s="1">
        <v>2.8009259259259259E-3</v>
      </c>
      <c r="I25" s="1">
        <v>6.9444444444444444E-5</v>
      </c>
      <c r="J25" s="1">
        <v>1.0416666666666667E-4</v>
      </c>
    </row>
    <row r="26" spans="1:10" x14ac:dyDescent="0.25">
      <c r="A26" t="s">
        <v>32</v>
      </c>
      <c r="B26">
        <v>72</v>
      </c>
      <c r="C26" s="3">
        <v>7.1400000000000005E-2</v>
      </c>
      <c r="D26" s="3">
        <v>0</v>
      </c>
      <c r="E26" s="3">
        <v>0</v>
      </c>
      <c r="F26" s="3">
        <v>0.125</v>
      </c>
      <c r="G26" s="3">
        <v>7.1400000000000005E-2</v>
      </c>
      <c r="H26" s="1">
        <v>2.9513888888888888E-3</v>
      </c>
      <c r="I26" s="1">
        <v>2.7777777777777778E-4</v>
      </c>
      <c r="J26" s="1">
        <v>1.7361111111111112E-4</v>
      </c>
    </row>
    <row r="27" spans="1:10" x14ac:dyDescent="0.25">
      <c r="A27" t="s">
        <v>33</v>
      </c>
      <c r="B27">
        <v>71</v>
      </c>
      <c r="C27" s="3">
        <v>2.86E-2</v>
      </c>
      <c r="D27" s="3">
        <v>0</v>
      </c>
      <c r="E27" s="3">
        <v>2.8199999999999999E-2</v>
      </c>
      <c r="F27" s="3">
        <v>8.4500000000000006E-2</v>
      </c>
      <c r="G27" s="3">
        <v>0</v>
      </c>
      <c r="H27" s="1">
        <v>2.673611111111111E-3</v>
      </c>
      <c r="I27" s="1">
        <v>3.4722222222222222E-5</v>
      </c>
      <c r="J27" s="1">
        <v>9.2592592592592588E-5</v>
      </c>
    </row>
    <row r="28" spans="1:10" x14ac:dyDescent="0.25">
      <c r="A28" t="s">
        <v>34</v>
      </c>
      <c r="B28">
        <v>70</v>
      </c>
      <c r="C28" s="3">
        <v>0</v>
      </c>
      <c r="D28" s="3">
        <v>0</v>
      </c>
      <c r="E28" s="3">
        <v>0</v>
      </c>
      <c r="F28" s="3">
        <v>7.1400000000000005E-2</v>
      </c>
      <c r="G28" s="3">
        <v>0</v>
      </c>
      <c r="H28" s="1">
        <v>2.5347222222222221E-3</v>
      </c>
      <c r="I28" s="1">
        <v>0</v>
      </c>
      <c r="J28" s="1">
        <v>5.7870370370370373E-5</v>
      </c>
    </row>
    <row r="29" spans="1:10" x14ac:dyDescent="0.25">
      <c r="A29" t="s">
        <v>35</v>
      </c>
      <c r="B29">
        <v>69</v>
      </c>
      <c r="C29" s="3">
        <v>4.3499999999999997E-2</v>
      </c>
      <c r="D29" s="3">
        <v>0</v>
      </c>
      <c r="E29" s="3">
        <v>1.4500000000000001E-2</v>
      </c>
      <c r="F29" s="3">
        <v>0.1014</v>
      </c>
      <c r="G29" s="3">
        <v>4.3499999999999997E-2</v>
      </c>
      <c r="H29" s="1">
        <v>2.8703703703703703E-3</v>
      </c>
      <c r="I29" s="1">
        <v>1.9675925925925926E-4</v>
      </c>
      <c r="J29" s="1">
        <v>1.273148148148148E-4</v>
      </c>
    </row>
    <row r="30" spans="1:10" x14ac:dyDescent="0.25">
      <c r="A30" t="s">
        <v>36</v>
      </c>
      <c r="B30">
        <v>68</v>
      </c>
      <c r="C30" s="3">
        <v>5.8799999999999998E-2</v>
      </c>
      <c r="D30" s="3">
        <v>0</v>
      </c>
      <c r="E30" s="3">
        <v>0</v>
      </c>
      <c r="F30" s="3">
        <v>0.1176</v>
      </c>
      <c r="G30" s="3">
        <v>5.8799999999999998E-2</v>
      </c>
      <c r="H30" s="1">
        <v>3.0324074074074073E-3</v>
      </c>
      <c r="I30" s="1">
        <v>3.3564814814814812E-4</v>
      </c>
      <c r="J30" s="1">
        <v>1.6203703703703703E-4</v>
      </c>
    </row>
    <row r="31" spans="1:10" x14ac:dyDescent="0.25">
      <c r="A31" t="s">
        <v>37</v>
      </c>
      <c r="B31">
        <v>67</v>
      </c>
      <c r="C31" s="3">
        <v>1.49E-2</v>
      </c>
      <c r="D31" s="3">
        <v>0</v>
      </c>
      <c r="E31" s="3">
        <v>1.49E-2</v>
      </c>
      <c r="F31" s="3">
        <v>8.9599999999999999E-2</v>
      </c>
      <c r="G31" s="3">
        <v>0</v>
      </c>
      <c r="H31" s="1">
        <v>2.7199074074074074E-3</v>
      </c>
      <c r="I31" s="1">
        <v>2.3148148148148147E-5</v>
      </c>
      <c r="J31" s="1">
        <v>8.1018518518518516E-5</v>
      </c>
    </row>
    <row r="32" spans="1:10" x14ac:dyDescent="0.25">
      <c r="A32" t="s">
        <v>38</v>
      </c>
      <c r="B32">
        <v>66</v>
      </c>
      <c r="C32" s="3">
        <v>3.0300000000000001E-2</v>
      </c>
      <c r="D32" s="3">
        <v>0</v>
      </c>
      <c r="E32" s="3">
        <v>0</v>
      </c>
      <c r="F32" s="3">
        <v>9.0899999999999995E-2</v>
      </c>
      <c r="G32" s="3">
        <v>0</v>
      </c>
      <c r="H32" s="1">
        <v>2.9050925925925928E-3</v>
      </c>
      <c r="I32" s="1">
        <v>4.6296296296296294E-5</v>
      </c>
      <c r="J32" s="1">
        <v>1.1574074074074075E-4</v>
      </c>
    </row>
    <row r="33" spans="1:10" x14ac:dyDescent="0.25">
      <c r="A33" t="s">
        <v>39</v>
      </c>
      <c r="B33">
        <v>64</v>
      </c>
      <c r="C33" s="3">
        <v>6.25E-2</v>
      </c>
      <c r="D33" s="3">
        <v>0</v>
      </c>
      <c r="E33" s="3">
        <v>1.5599999999999999E-2</v>
      </c>
      <c r="F33" s="3">
        <v>0.125</v>
      </c>
      <c r="G33" s="3">
        <v>6.25E-2</v>
      </c>
      <c r="H33" s="1">
        <v>3.0902777777777777E-3</v>
      </c>
      <c r="I33" s="1">
        <v>4.0509259259259258E-4</v>
      </c>
      <c r="J33" s="1">
        <v>1.8518518518518518E-4</v>
      </c>
    </row>
    <row r="34" spans="1:10" x14ac:dyDescent="0.25">
      <c r="A34" t="s">
        <v>40</v>
      </c>
      <c r="B34">
        <v>63</v>
      </c>
      <c r="C34" s="3">
        <v>0</v>
      </c>
      <c r="D34" s="3">
        <v>0</v>
      </c>
      <c r="E34" s="3">
        <v>0</v>
      </c>
      <c r="F34" s="3">
        <v>6.3500000000000001E-2</v>
      </c>
      <c r="G34" s="3">
        <v>0</v>
      </c>
      <c r="H34" s="1">
        <v>2.476851851851852E-3</v>
      </c>
      <c r="I34" s="1">
        <v>1.1574074074074073E-5</v>
      </c>
      <c r="J34" s="1">
        <v>5.7870370370370373E-5</v>
      </c>
    </row>
    <row r="35" spans="1:10" x14ac:dyDescent="0.25">
      <c r="A35" t="s">
        <v>41</v>
      </c>
      <c r="B35">
        <v>62</v>
      </c>
      <c r="C35" s="3">
        <v>4.7600000000000003E-2</v>
      </c>
      <c r="D35" s="3">
        <v>0</v>
      </c>
      <c r="E35" s="3">
        <v>1.61E-2</v>
      </c>
      <c r="F35" s="3">
        <v>9.6799999999999997E-2</v>
      </c>
      <c r="G35" s="3">
        <v>4.7600000000000003E-2</v>
      </c>
      <c r="H35" s="1">
        <v>2.8124999999999999E-3</v>
      </c>
      <c r="I35" s="1">
        <v>1.6203703703703703E-4</v>
      </c>
      <c r="J35" s="1">
        <v>1.0416666666666667E-4</v>
      </c>
    </row>
    <row r="36" spans="1:10" x14ac:dyDescent="0.25">
      <c r="A36" t="s">
        <v>42</v>
      </c>
      <c r="B36">
        <v>61</v>
      </c>
      <c r="C36" s="3">
        <v>2.4400000000000002E-2</v>
      </c>
      <c r="D36" s="3">
        <v>0</v>
      </c>
      <c r="E36" s="3">
        <v>0</v>
      </c>
      <c r="F36" s="3">
        <v>8.5400000000000004E-2</v>
      </c>
      <c r="G36" s="3">
        <v>0</v>
      </c>
      <c r="H36" s="1">
        <v>2.638888888888889E-3</v>
      </c>
      <c r="I36" s="1">
        <v>3.4722222222222222E-5</v>
      </c>
      <c r="J36" s="1">
        <v>8.1018518518518516E-5</v>
      </c>
    </row>
    <row r="37" spans="1:10" x14ac:dyDescent="0.25">
      <c r="A37" t="s">
        <v>43</v>
      </c>
      <c r="B37">
        <v>60</v>
      </c>
      <c r="C37" s="3">
        <v>0.08</v>
      </c>
      <c r="D37" s="3">
        <v>0</v>
      </c>
      <c r="E37" s="3">
        <v>1.67E-2</v>
      </c>
      <c r="F37" s="3">
        <v>0.1333</v>
      </c>
      <c r="G37" s="3">
        <v>0.08</v>
      </c>
      <c r="H37" s="1">
        <v>3.1250000000000002E-3</v>
      </c>
      <c r="I37" s="1">
        <v>4.861111111111111E-4</v>
      </c>
      <c r="J37" s="1">
        <v>2.0833333333333335E-4</v>
      </c>
    </row>
    <row r="38" spans="1:10" x14ac:dyDescent="0.25">
      <c r="A38" t="s">
        <v>44</v>
      </c>
      <c r="B38">
        <v>59</v>
      </c>
      <c r="C38" s="3">
        <v>0</v>
      </c>
      <c r="D38" s="3">
        <v>0</v>
      </c>
      <c r="E38" s="3">
        <v>0</v>
      </c>
      <c r="F38" s="3">
        <v>6.7799999999999999E-2</v>
      </c>
      <c r="G38" s="3">
        <v>0</v>
      </c>
      <c r="H38" s="1">
        <v>2.5578703703703705E-3</v>
      </c>
      <c r="I38" s="1">
        <v>0</v>
      </c>
      <c r="J38" s="1">
        <v>6.9444444444444444E-5</v>
      </c>
    </row>
    <row r="39" spans="1:10" x14ac:dyDescent="0.25">
      <c r="A39" t="s">
        <v>45</v>
      </c>
      <c r="B39">
        <v>58</v>
      </c>
      <c r="C39" s="3">
        <v>3.5700000000000003E-2</v>
      </c>
      <c r="D39" s="3">
        <v>0</v>
      </c>
      <c r="E39" s="3">
        <v>1.72E-2</v>
      </c>
      <c r="F39" s="3">
        <v>0.10340000000000001</v>
      </c>
      <c r="G39" s="3">
        <v>3.5700000000000003E-2</v>
      </c>
      <c r="H39" s="1">
        <v>2.8472222222222223E-3</v>
      </c>
      <c r="I39" s="1">
        <v>1.3888888888888889E-4</v>
      </c>
      <c r="J39" s="1">
        <v>1.1574074074074075E-4</v>
      </c>
    </row>
    <row r="40" spans="1:10" x14ac:dyDescent="0.25">
      <c r="A40" t="s">
        <v>46</v>
      </c>
      <c r="B40">
        <v>57</v>
      </c>
      <c r="C40" s="3">
        <v>5.2600000000000001E-2</v>
      </c>
      <c r="D40" s="3">
        <v>0</v>
      </c>
      <c r="E40" s="3">
        <v>0</v>
      </c>
      <c r="F40" s="3">
        <v>0.1053</v>
      </c>
      <c r="G40" s="3">
        <v>5.2600000000000001E-2</v>
      </c>
      <c r="H40" s="1">
        <v>2.9745370370370373E-3</v>
      </c>
      <c r="I40" s="1">
        <v>2.4305555555555555E-4</v>
      </c>
      <c r="J40" s="1">
        <v>1.5046296296296297E-4</v>
      </c>
    </row>
    <row r="41" spans="1:10" x14ac:dyDescent="0.25">
      <c r="A41" t="s">
        <v>47</v>
      </c>
      <c r="B41">
        <v>56</v>
      </c>
      <c r="C41" s="3">
        <v>1.7899999999999999E-2</v>
      </c>
      <c r="D41" s="3">
        <v>0</v>
      </c>
      <c r="E41" s="3">
        <v>1.7899999999999999E-2</v>
      </c>
      <c r="F41" s="3">
        <v>8.9300000000000004E-2</v>
      </c>
      <c r="G41" s="3">
        <v>0</v>
      </c>
      <c r="H41" s="1">
        <v>2.685185185185185E-3</v>
      </c>
      <c r="I41" s="1">
        <v>2.3148148148148147E-5</v>
      </c>
      <c r="J41" s="1">
        <v>9.2592592592592588E-5</v>
      </c>
    </row>
    <row r="42" spans="1:10" x14ac:dyDescent="0.25">
      <c r="A42" t="s">
        <v>48</v>
      </c>
      <c r="B42">
        <v>55</v>
      </c>
      <c r="C42" s="3">
        <v>0</v>
      </c>
      <c r="D42" s="3">
        <v>0</v>
      </c>
      <c r="E42" s="3">
        <v>0</v>
      </c>
      <c r="F42" s="3">
        <v>7.2700000000000001E-2</v>
      </c>
      <c r="G42" s="3">
        <v>0</v>
      </c>
      <c r="H42" s="1">
        <v>2.5115740740740741E-3</v>
      </c>
      <c r="I42" s="1">
        <v>1.1574074074074073E-5</v>
      </c>
      <c r="J42" s="1">
        <v>5.7870370370370373E-5</v>
      </c>
    </row>
    <row r="43" spans="1:10" x14ac:dyDescent="0.25">
      <c r="A43" t="s">
        <v>49</v>
      </c>
      <c r="B43">
        <v>53</v>
      </c>
      <c r="C43" s="3">
        <v>6.6699999999999995E-2</v>
      </c>
      <c r="D43" s="3">
        <v>0</v>
      </c>
      <c r="E43" s="3">
        <v>1.89E-2</v>
      </c>
      <c r="F43" s="3">
        <v>0.1132</v>
      </c>
      <c r="G43" s="3">
        <v>6.6699999999999995E-2</v>
      </c>
      <c r="H43" s="1">
        <v>3.0555555555555557E-3</v>
      </c>
      <c r="I43" s="1">
        <v>3.9351851851851852E-4</v>
      </c>
      <c r="J43" s="1">
        <v>1.7361111111111112E-4</v>
      </c>
    </row>
    <row r="44" spans="1:10" x14ac:dyDescent="0.25">
      <c r="A44" t="s">
        <v>50</v>
      </c>
      <c r="B44">
        <v>52</v>
      </c>
      <c r="C44" s="3">
        <v>3.85E-2</v>
      </c>
      <c r="D44" s="3">
        <v>0</v>
      </c>
      <c r="E44" s="3">
        <v>0</v>
      </c>
      <c r="F44" s="3">
        <v>9.6199999999999994E-2</v>
      </c>
      <c r="G44" s="3">
        <v>0</v>
      </c>
      <c r="H44" s="1">
        <v>2.8819444444444444E-3</v>
      </c>
      <c r="I44" s="1">
        <v>5.7870370370370373E-5</v>
      </c>
      <c r="J44" s="1">
        <v>1.0416666666666667E-4</v>
      </c>
    </row>
    <row r="45" spans="1:10" x14ac:dyDescent="0.25">
      <c r="A45" t="s">
        <v>51</v>
      </c>
      <c r="B45">
        <v>51</v>
      </c>
      <c r="C45" s="3">
        <v>0</v>
      </c>
      <c r="D45" s="3">
        <v>0</v>
      </c>
      <c r="E45" s="3">
        <v>0</v>
      </c>
      <c r="F45" s="3">
        <v>5.8799999999999998E-2</v>
      </c>
      <c r="G45" s="3">
        <v>0</v>
      </c>
      <c r="H45" s="1">
        <v>2.4189814814814816E-3</v>
      </c>
      <c r="I45" s="1">
        <v>0</v>
      </c>
      <c r="J45" s="1">
        <v>4.6296296296296294E-5</v>
      </c>
    </row>
    <row r="46" spans="1:10" x14ac:dyDescent="0.25">
      <c r="A46" t="s">
        <v>52</v>
      </c>
      <c r="B46">
        <v>50</v>
      </c>
      <c r="C46" s="3">
        <v>0.04</v>
      </c>
      <c r="D46" s="3">
        <v>0</v>
      </c>
      <c r="E46" s="3">
        <v>0.02</v>
      </c>
      <c r="F46" s="3">
        <v>0.1</v>
      </c>
      <c r="G46" s="3">
        <v>0.04</v>
      </c>
      <c r="H46" s="1">
        <v>2.9398148148148148E-3</v>
      </c>
      <c r="I46" s="1">
        <v>1.8518518518518518E-4</v>
      </c>
      <c r="J46" s="1">
        <v>1.3888888888888889E-4</v>
      </c>
    </row>
    <row r="47" spans="1:10" x14ac:dyDescent="0.25">
      <c r="A47" t="s">
        <v>53</v>
      </c>
      <c r="B47">
        <v>49</v>
      </c>
      <c r="C47" s="3">
        <v>2.0400000000000001E-2</v>
      </c>
      <c r="D47" s="3">
        <v>0</v>
      </c>
      <c r="E47" s="3">
        <v>0</v>
      </c>
      <c r="F47" s="3">
        <v>8.1600000000000006E-2</v>
      </c>
      <c r="G47" s="3">
        <v>0</v>
      </c>
      <c r="H47" s="1">
        <v>2.7314814814814814E-3</v>
      </c>
      <c r="I47" s="1">
        <v>3.4722222222222222E-5</v>
      </c>
      <c r="J47" s="1">
        <v>8.1018518518518516E-5</v>
      </c>
    </row>
    <row r="48" spans="1:10" x14ac:dyDescent="0.25">
      <c r="A48" t="s">
        <v>54</v>
      </c>
      <c r="B48">
        <v>48</v>
      </c>
      <c r="C48" s="3">
        <v>5.5599999999999997E-2</v>
      </c>
      <c r="D48" s="3">
        <v>0</v>
      </c>
      <c r="E48" s="3">
        <v>1.04E-2</v>
      </c>
      <c r="F48" s="3">
        <v>0.125</v>
      </c>
      <c r="G48" s="3">
        <v>5.5599999999999997E-2</v>
      </c>
      <c r="H48" s="1">
        <v>3.1018518518518517E-3</v>
      </c>
      <c r="I48" s="1">
        <v>3.1250000000000001E-4</v>
      </c>
      <c r="J48" s="1">
        <v>1.8518518518518518E-4</v>
      </c>
    </row>
    <row r="49" spans="1:10" x14ac:dyDescent="0.25">
      <c r="A49" t="s">
        <v>55</v>
      </c>
      <c r="B49">
        <v>47</v>
      </c>
      <c r="C49" s="3">
        <v>0</v>
      </c>
      <c r="D49" s="3">
        <v>0</v>
      </c>
      <c r="E49" s="3">
        <v>0</v>
      </c>
      <c r="F49" s="3">
        <v>6.3799999999999996E-2</v>
      </c>
      <c r="G49" s="3">
        <v>0</v>
      </c>
      <c r="H49" s="1">
        <v>2.5810185185185185E-3</v>
      </c>
      <c r="I49" s="1">
        <v>1.1574074074074073E-5</v>
      </c>
      <c r="J49" s="1">
        <v>6.9444444444444444E-5</v>
      </c>
    </row>
    <row r="50" spans="1:10" x14ac:dyDescent="0.25">
      <c r="A50" t="s">
        <v>56</v>
      </c>
      <c r="B50">
        <v>46</v>
      </c>
      <c r="C50" s="3">
        <v>3.1300000000000001E-2</v>
      </c>
      <c r="D50" s="3">
        <v>0</v>
      </c>
      <c r="E50" s="3">
        <v>1.09E-2</v>
      </c>
      <c r="F50" s="3">
        <v>9.7799999999999998E-2</v>
      </c>
      <c r="G50" s="3">
        <v>3.1300000000000001E-2</v>
      </c>
      <c r="H50" s="1">
        <v>2.7893518518518519E-3</v>
      </c>
      <c r="I50" s="1">
        <v>1.0416666666666667E-4</v>
      </c>
      <c r="J50" s="1">
        <v>1.0416666666666667E-4</v>
      </c>
    </row>
    <row r="51" spans="1:10" x14ac:dyDescent="0.25">
      <c r="A51" t="s">
        <v>57</v>
      </c>
      <c r="B51">
        <v>45</v>
      </c>
      <c r="C51" s="3">
        <v>6.25E-2</v>
      </c>
      <c r="D51" s="3">
        <v>0</v>
      </c>
      <c r="E51" s="3">
        <v>0</v>
      </c>
      <c r="F51" s="3">
        <v>0.1111</v>
      </c>
      <c r="G51" s="3">
        <v>6.25E-2</v>
      </c>
      <c r="H51" s="1">
        <v>2.9976851851851853E-3</v>
      </c>
      <c r="I51" s="1">
        <v>2.5462962962962961E-4</v>
      </c>
      <c r="J51" s="1">
        <v>1.6203703703703703E-4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01FE-A4B5-43F3-A7C5-02130B12108A}">
  <sheetPr codeName="Sheet5"/>
  <dimension ref="A1:H53"/>
  <sheetViews>
    <sheetView workbookViewId="0">
      <selection activeCell="K7" sqref="K7"/>
    </sheetView>
  </sheetViews>
  <sheetFormatPr defaultRowHeight="15" x14ac:dyDescent="0.25"/>
  <cols>
    <col min="1" max="1" width="20.85546875" customWidth="1"/>
    <col min="2" max="2" width="14.85546875" bestFit="1" customWidth="1"/>
    <col min="3" max="3" width="29.28515625" bestFit="1" customWidth="1"/>
    <col min="4" max="4" width="14.42578125" bestFit="1" customWidth="1"/>
    <col min="5" max="5" width="16.5703125" style="4" bestFit="1" customWidth="1"/>
    <col min="6" max="6" width="14" bestFit="1" customWidth="1"/>
    <col min="7" max="7" width="12.140625" bestFit="1" customWidth="1"/>
    <col min="8" max="8" width="8.140625" bestFit="1" customWidth="1"/>
  </cols>
  <sheetData>
    <row r="1" spans="1:8" x14ac:dyDescent="0.25">
      <c r="A1" s="2" t="s">
        <v>81</v>
      </c>
      <c r="B1" s="2" t="s">
        <v>85</v>
      </c>
      <c r="C1" s="2" t="s">
        <v>82</v>
      </c>
      <c r="D1" s="2" t="s">
        <v>83</v>
      </c>
      <c r="E1" s="5" t="s">
        <v>84</v>
      </c>
      <c r="F1" s="2" t="s">
        <v>60</v>
      </c>
      <c r="G1" s="2" t="s">
        <v>65</v>
      </c>
      <c r="H1" s="2"/>
    </row>
    <row r="2" spans="1:8" x14ac:dyDescent="0.25">
      <c r="A2" t="s">
        <v>8</v>
      </c>
      <c r="B2" s="17" t="str">
        <f>LEFT(A2,FIND("(",A2)-1)</f>
        <v xml:space="preserve">Rahul Sharma </v>
      </c>
      <c r="C2" s="4">
        <f t="shared" ref="C2:C33" si="0">VLOOKUP(A2,efficiency,2,0)</f>
        <v>0.34424768518518517</v>
      </c>
      <c r="D2" s="3">
        <f t="shared" ref="D2:D33" si="1">VLOOKUP(A2,efficiency,4,0)</f>
        <v>0.78539999999999999</v>
      </c>
      <c r="E2" s="4">
        <f t="shared" ref="E2:E33" si="2">VLOOKUP(A2,break,8,0)</f>
        <v>6.25E-2</v>
      </c>
      <c r="F2" s="3">
        <f>VLOOKUP(A2,efficiency,5,0)</f>
        <v>0.72299999999999998</v>
      </c>
      <c r="G2" s="3">
        <v>5.0999999999999997E-2</v>
      </c>
    </row>
    <row r="3" spans="1:8" x14ac:dyDescent="0.25">
      <c r="A3" t="str">
        <f>'break '!A3</f>
        <v>Priya Singh (E002)</v>
      </c>
      <c r="B3" t="str">
        <f t="shared" ref="B3:B50" si="3">LEFT(A3,FIND("(",A3)-1)</f>
        <v xml:space="preserve">Priya Singh </v>
      </c>
      <c r="C3" s="4">
        <f t="shared" si="0"/>
        <v>0.36270833333333335</v>
      </c>
      <c r="D3" s="3">
        <f t="shared" si="1"/>
        <v>0.84319999999999995</v>
      </c>
      <c r="E3" s="4">
        <f t="shared" si="2"/>
        <v>7.1527777777777773E-2</v>
      </c>
      <c r="F3" s="3">
        <f>VLOOKUP(A3,efficiency,5,0)</f>
        <v>0.78400000000000003</v>
      </c>
      <c r="G3" s="3">
        <v>4.2000000000000003E-2</v>
      </c>
    </row>
    <row r="4" spans="1:8" x14ac:dyDescent="0.25">
      <c r="A4" t="str">
        <f>'break '!A4</f>
        <v>Amit Kumar (E003)</v>
      </c>
      <c r="B4" t="str">
        <f t="shared" si="3"/>
        <v xml:space="preserve">Amit Kumar </v>
      </c>
      <c r="C4" s="4">
        <f t="shared" si="0"/>
        <v>0.33016203703703706</v>
      </c>
      <c r="D4" s="3">
        <f t="shared" si="1"/>
        <v>0.71450000000000002</v>
      </c>
      <c r="E4" s="4">
        <f t="shared" si="2"/>
        <v>5.6250000000000001E-2</v>
      </c>
      <c r="F4" s="3">
        <f>VLOOKUP(A4,efficiency,5,0)</f>
        <v>0.68200000000000005</v>
      </c>
      <c r="G4" s="3">
        <v>7.1999999999999995E-2</v>
      </c>
    </row>
    <row r="5" spans="1:8" x14ac:dyDescent="0.25">
      <c r="A5" t="str">
        <f>'break '!A5</f>
        <v>Neha Verma (E004)</v>
      </c>
      <c r="B5" t="str">
        <f t="shared" si="3"/>
        <v xml:space="preserve">Neha Verma </v>
      </c>
      <c r="C5" s="4">
        <f t="shared" si="0"/>
        <v>0.35475694444444444</v>
      </c>
      <c r="D5" s="3">
        <f t="shared" si="1"/>
        <v>0.89449999999999996</v>
      </c>
      <c r="E5" s="4">
        <f t="shared" si="2"/>
        <v>8.1250000000000003E-2</v>
      </c>
      <c r="F5" s="3">
        <f>VLOOKUP(A5,efficiency,5,0)</f>
        <v>0.82599999999999996</v>
      </c>
      <c r="G5" s="3">
        <v>3.5000000000000003E-2</v>
      </c>
    </row>
    <row r="6" spans="1:8" x14ac:dyDescent="0.25">
      <c r="A6" t="str">
        <f>'break '!A6</f>
        <v>Rohit Gupta (E005)</v>
      </c>
      <c r="B6" t="str">
        <f t="shared" si="3"/>
        <v xml:space="preserve">Rohit Gupta </v>
      </c>
      <c r="C6" s="4">
        <f t="shared" si="0"/>
        <v>0.37861111111111112</v>
      </c>
      <c r="D6" s="3">
        <f t="shared" si="1"/>
        <v>0.9425</v>
      </c>
      <c r="E6" s="4">
        <f t="shared" si="2"/>
        <v>7.2916666666666671E-2</v>
      </c>
      <c r="F6" s="3">
        <f>VLOOKUP(A6,efficiency,5,0)</f>
        <v>0.88400000000000001</v>
      </c>
      <c r="G6" s="3">
        <v>2.1999999999999999E-2</v>
      </c>
    </row>
    <row r="7" spans="1:8" x14ac:dyDescent="0.25">
      <c r="A7" t="str">
        <f>'break '!A7</f>
        <v>Anjali Mehta (E006)</v>
      </c>
      <c r="B7" t="str">
        <f t="shared" si="3"/>
        <v xml:space="preserve">Anjali Mehta </v>
      </c>
      <c r="C7" s="4">
        <f t="shared" si="0"/>
        <v>0.34765046296296298</v>
      </c>
      <c r="D7" s="3">
        <f t="shared" si="1"/>
        <v>0.81630000000000003</v>
      </c>
      <c r="E7" s="4">
        <f t="shared" si="2"/>
        <v>5.9722222222222225E-2</v>
      </c>
      <c r="F7" s="3">
        <f>VLOOKUP(A7,efficiency,5,0)</f>
        <v>0.752</v>
      </c>
      <c r="G7" s="3">
        <v>5.3999999999999999E-2</v>
      </c>
    </row>
    <row r="8" spans="1:8" x14ac:dyDescent="0.25">
      <c r="A8" t="str">
        <f>'break '!A8</f>
        <v>Sandeep Yadav (E007)</v>
      </c>
      <c r="B8" t="str">
        <f t="shared" si="3"/>
        <v xml:space="preserve">Sandeep Yadav </v>
      </c>
      <c r="C8" s="4">
        <f t="shared" si="0"/>
        <v>0.32552083333333331</v>
      </c>
      <c r="D8" s="3">
        <f t="shared" si="1"/>
        <v>0.74819999999999998</v>
      </c>
      <c r="E8" s="4">
        <f t="shared" si="2"/>
        <v>7.3611111111111113E-2</v>
      </c>
      <c r="F8" s="3">
        <f>VLOOKUP(A8,efficiency,5,0)</f>
        <v>0.69499999999999995</v>
      </c>
      <c r="G8" s="3">
        <v>6.9000000000000006E-2</v>
      </c>
    </row>
    <row r="9" spans="1:8" x14ac:dyDescent="0.25">
      <c r="A9" t="str">
        <f>'break '!A9</f>
        <v>Pooja Sharma (E008)</v>
      </c>
      <c r="B9" t="str">
        <f t="shared" si="3"/>
        <v xml:space="preserve">Pooja Sharma </v>
      </c>
      <c r="C9" s="4">
        <f t="shared" si="0"/>
        <v>0.37186342592592592</v>
      </c>
      <c r="D9" s="3">
        <f t="shared" si="1"/>
        <v>0.91359999999999997</v>
      </c>
      <c r="E9" s="4">
        <f t="shared" si="2"/>
        <v>6.458333333333334E-2</v>
      </c>
      <c r="F9" s="3">
        <f>VLOOKUP(A9,efficiency,5,0)</f>
        <v>0.85299999999999998</v>
      </c>
      <c r="G9" s="3">
        <v>2.9000000000000001E-2</v>
      </c>
    </row>
    <row r="10" spans="1:8" x14ac:dyDescent="0.25">
      <c r="A10" t="str">
        <f>'break '!A10</f>
        <v>Karan Singh (E009)</v>
      </c>
      <c r="B10" t="str">
        <f t="shared" si="3"/>
        <v xml:space="preserve">Karan Singh </v>
      </c>
      <c r="C10" s="4">
        <f t="shared" si="0"/>
        <v>0.38215277777777779</v>
      </c>
      <c r="D10" s="3">
        <f t="shared" si="1"/>
        <v>0.96419999999999995</v>
      </c>
      <c r="E10" s="4">
        <f t="shared" si="2"/>
        <v>8.3333333333333329E-2</v>
      </c>
      <c r="F10" s="3">
        <f>VLOOKUP(A10,efficiency,5,0)</f>
        <v>0.90200000000000002</v>
      </c>
      <c r="G10" s="3">
        <v>1.7999999999999999E-2</v>
      </c>
    </row>
    <row r="11" spans="1:8" x14ac:dyDescent="0.25">
      <c r="A11" t="str">
        <f>'break '!A11</f>
        <v>Vikas Jain (E010)</v>
      </c>
      <c r="B11" t="str">
        <f t="shared" si="3"/>
        <v xml:space="preserve">Vikas Jain </v>
      </c>
      <c r="C11" s="4">
        <f t="shared" si="0"/>
        <v>0.31982638888888887</v>
      </c>
      <c r="D11" s="3">
        <f t="shared" si="1"/>
        <v>0.6875</v>
      </c>
      <c r="E11" s="4">
        <f t="shared" si="2"/>
        <v>5.0694444444444445E-2</v>
      </c>
      <c r="F11" s="3">
        <f>VLOOKUP(A11,efficiency,5,0)</f>
        <v>0.63800000000000001</v>
      </c>
      <c r="G11" s="3">
        <v>8.2000000000000003E-2</v>
      </c>
    </row>
    <row r="12" spans="1:8" x14ac:dyDescent="0.25">
      <c r="A12" t="str">
        <f>'break '!A12</f>
        <v>Sneha Gupta (E011)</v>
      </c>
      <c r="B12" t="str">
        <f>LEFT(A12,FIND("(",A12)-1)</f>
        <v xml:space="preserve">Sneha Gupta </v>
      </c>
      <c r="C12" s="4">
        <f t="shared" si="0"/>
        <v>0.35818287037037039</v>
      </c>
      <c r="D12" s="3">
        <f t="shared" si="1"/>
        <v>0.87519999999999998</v>
      </c>
      <c r="E12" s="4">
        <f t="shared" si="2"/>
        <v>7.7777777777777779E-2</v>
      </c>
      <c r="F12" s="3">
        <f>VLOOKUP(A12,efficiency,5,0)</f>
        <v>0.80100000000000005</v>
      </c>
      <c r="G12" s="3">
        <v>0.04</v>
      </c>
    </row>
    <row r="13" spans="1:8" x14ac:dyDescent="0.25">
      <c r="A13" t="str">
        <f>'break '!A13</f>
        <v>Arjun Verma (E012)</v>
      </c>
      <c r="B13" t="str">
        <f t="shared" si="3"/>
        <v xml:space="preserve">Arjun Verma </v>
      </c>
      <c r="C13" s="4">
        <f t="shared" si="0"/>
        <v>0.33706018518518521</v>
      </c>
      <c r="D13" s="3">
        <f t="shared" si="1"/>
        <v>0.7984</v>
      </c>
      <c r="E13" s="4">
        <f t="shared" si="2"/>
        <v>6.3194444444444442E-2</v>
      </c>
      <c r="F13" s="3">
        <f>VLOOKUP(A13,efficiency,5,0)</f>
        <v>0.73599999999999999</v>
      </c>
      <c r="G13" s="3">
        <v>5.7000000000000002E-2</v>
      </c>
    </row>
    <row r="14" spans="1:8" x14ac:dyDescent="0.25">
      <c r="A14" t="str">
        <f>'break '!A14</f>
        <v>Nisha Kapoor (E013)</v>
      </c>
      <c r="B14" t="str">
        <f t="shared" si="3"/>
        <v xml:space="preserve">Nisha Kapoor </v>
      </c>
      <c r="C14" s="4">
        <f t="shared" si="0"/>
        <v>0.37547453703703704</v>
      </c>
      <c r="D14" s="3">
        <f t="shared" si="1"/>
        <v>0.92779999999999996</v>
      </c>
      <c r="E14" s="4">
        <f t="shared" si="2"/>
        <v>7.3611111111111113E-2</v>
      </c>
      <c r="F14" s="3">
        <f>VLOOKUP(A14,efficiency,5,0)</f>
        <v>0.86899999999999999</v>
      </c>
      <c r="G14" s="3">
        <v>2.7E-2</v>
      </c>
    </row>
    <row r="15" spans="1:8" x14ac:dyDescent="0.25">
      <c r="A15" t="str">
        <f>'break '!A15</f>
        <v>Manish Kumar (E014)</v>
      </c>
      <c r="B15" t="str">
        <f t="shared" si="3"/>
        <v xml:space="preserve">Manish Kumar </v>
      </c>
      <c r="C15" s="4">
        <f t="shared" si="0"/>
        <v>0.32799768518518518</v>
      </c>
      <c r="D15" s="3">
        <f t="shared" si="1"/>
        <v>0.73260000000000003</v>
      </c>
      <c r="E15" s="4">
        <f t="shared" si="2"/>
        <v>6.3194444444444442E-2</v>
      </c>
      <c r="F15" s="3">
        <f>VLOOKUP(A15,efficiency,5,0)</f>
        <v>0.67800000000000005</v>
      </c>
      <c r="G15" s="3">
        <v>7.0999999999999994E-2</v>
      </c>
    </row>
    <row r="16" spans="1:8" x14ac:dyDescent="0.25">
      <c r="A16" t="str">
        <f>'break '!A16</f>
        <v>Riya Sharma (E015)</v>
      </c>
      <c r="B16" t="str">
        <f t="shared" si="3"/>
        <v xml:space="preserve">Riya Sharma </v>
      </c>
      <c r="C16" s="4">
        <f t="shared" si="0"/>
        <v>0.36175925925925928</v>
      </c>
      <c r="D16" s="3">
        <f t="shared" si="1"/>
        <v>0.88629999999999998</v>
      </c>
      <c r="E16" s="4">
        <f t="shared" si="2"/>
        <v>8.4722222222222227E-2</v>
      </c>
      <c r="F16" s="3">
        <f>VLOOKUP(A16,efficiency,5,0)</f>
        <v>0.82099999999999995</v>
      </c>
      <c r="G16" s="3">
        <v>3.7999999999999999E-2</v>
      </c>
    </row>
    <row r="17" spans="1:7" x14ac:dyDescent="0.25">
      <c r="A17" t="str">
        <f>'break '!A17</f>
        <v>Akash Singh (E016)</v>
      </c>
      <c r="B17" t="str">
        <f t="shared" si="3"/>
        <v xml:space="preserve">Akash Singh </v>
      </c>
      <c r="C17" s="4">
        <f t="shared" si="0"/>
        <v>0.34410879629629632</v>
      </c>
      <c r="D17" s="3">
        <f t="shared" si="1"/>
        <v>0.82450000000000001</v>
      </c>
      <c r="E17" s="4">
        <f t="shared" si="2"/>
        <v>5.347222222222222E-2</v>
      </c>
      <c r="F17" s="3">
        <f>VLOOKUP(A17,efficiency,5,0)</f>
        <v>0.76400000000000001</v>
      </c>
      <c r="G17" s="3">
        <v>5.1999999999999998E-2</v>
      </c>
    </row>
    <row r="18" spans="1:7" x14ac:dyDescent="0.25">
      <c r="A18" t="str">
        <f>'break '!A18</f>
        <v>Simran Kaur (E017)</v>
      </c>
      <c r="B18" t="str">
        <f t="shared" si="3"/>
        <v xml:space="preserve">Simran Kaur </v>
      </c>
      <c r="C18" s="4">
        <f t="shared" si="0"/>
        <v>0.3790277777777778</v>
      </c>
      <c r="D18" s="3">
        <f t="shared" si="1"/>
        <v>0.9385</v>
      </c>
      <c r="E18" s="4">
        <f t="shared" si="2"/>
        <v>7.7083333333333337E-2</v>
      </c>
      <c r="F18" s="3">
        <f>VLOOKUP(A18,efficiency,5,0)</f>
        <v>0.88100000000000001</v>
      </c>
      <c r="G18" s="3">
        <v>2.4E-2</v>
      </c>
    </row>
    <row r="19" spans="1:7" x14ac:dyDescent="0.25">
      <c r="A19" t="str">
        <f>'break '!A19</f>
        <v>Deepak Yadav (E018)</v>
      </c>
      <c r="B19" t="str">
        <f t="shared" si="3"/>
        <v xml:space="preserve">Deepak Yadav </v>
      </c>
      <c r="C19" s="4">
        <f t="shared" si="0"/>
        <v>0.35085648148148146</v>
      </c>
      <c r="D19" s="3">
        <f t="shared" si="1"/>
        <v>0.85270000000000001</v>
      </c>
      <c r="E19" s="4">
        <f t="shared" si="2"/>
        <v>7.6388888888888895E-2</v>
      </c>
      <c r="F19" s="3">
        <f>VLOOKUP(A19,efficiency,5,0)</f>
        <v>0.79300000000000004</v>
      </c>
      <c r="G19" s="3">
        <v>4.4999999999999998E-2</v>
      </c>
    </row>
    <row r="20" spans="1:7" x14ac:dyDescent="0.25">
      <c r="A20" t="str">
        <f>'break '!A20</f>
        <v>Komal Verma (E019)</v>
      </c>
      <c r="B20" t="str">
        <f t="shared" si="3"/>
        <v xml:space="preserve">Komal Verma </v>
      </c>
      <c r="C20" s="4">
        <f t="shared" si="0"/>
        <v>0.33239583333333333</v>
      </c>
      <c r="D20" s="3">
        <f t="shared" si="1"/>
        <v>0.77639999999999998</v>
      </c>
      <c r="E20" s="4">
        <f t="shared" si="2"/>
        <v>6.5972222222222224E-2</v>
      </c>
      <c r="F20" s="3">
        <f>VLOOKUP(A20,efficiency,5,0)</f>
        <v>0.71199999999999997</v>
      </c>
      <c r="G20" s="3">
        <v>6.3E-2</v>
      </c>
    </row>
    <row r="21" spans="1:7" x14ac:dyDescent="0.25">
      <c r="A21" t="str">
        <f>'break '!A21</f>
        <v>Varun Gupta (E020)</v>
      </c>
      <c r="B21" t="str">
        <f t="shared" si="3"/>
        <v xml:space="preserve">Varun Gupta </v>
      </c>
      <c r="C21" s="4">
        <f t="shared" si="0"/>
        <v>0.36836805555555557</v>
      </c>
      <c r="D21" s="3">
        <f t="shared" si="1"/>
        <v>0.90739999999999998</v>
      </c>
      <c r="E21" s="4">
        <f t="shared" si="2"/>
        <v>7.6388888888888895E-2</v>
      </c>
      <c r="F21" s="3">
        <f>VLOOKUP(A21,efficiency,5,0)</f>
        <v>0.84599999999999997</v>
      </c>
      <c r="G21" s="3">
        <v>3.2000000000000001E-2</v>
      </c>
    </row>
    <row r="22" spans="1:7" x14ac:dyDescent="0.25">
      <c r="A22" t="str">
        <f>'break '!A22</f>
        <v>Mohit Sharma (E021)</v>
      </c>
      <c r="B22" t="str">
        <f t="shared" si="3"/>
        <v xml:space="preserve">Mohit Sharma </v>
      </c>
      <c r="C22" s="4">
        <f t="shared" si="0"/>
        <v>0.34631944444444446</v>
      </c>
      <c r="D22" s="3">
        <f t="shared" si="1"/>
        <v>0.80359999999999998</v>
      </c>
      <c r="E22" s="4">
        <f t="shared" si="2"/>
        <v>6.7361111111111108E-2</v>
      </c>
      <c r="F22" s="3">
        <f>VLOOKUP(A22,efficiency,5,0)</f>
        <v>0.748</v>
      </c>
      <c r="G22" s="3">
        <v>5.6000000000000001E-2</v>
      </c>
    </row>
    <row r="23" spans="1:7" x14ac:dyDescent="0.25">
      <c r="A23" t="str">
        <f>'break '!A23</f>
        <v>Kavita Singh (E022)</v>
      </c>
      <c r="B23" t="str">
        <f t="shared" si="3"/>
        <v xml:space="preserve">Kavita Singh </v>
      </c>
      <c r="C23" s="4">
        <f t="shared" si="0"/>
        <v>0.38374999999999998</v>
      </c>
      <c r="D23" s="3">
        <f t="shared" si="1"/>
        <v>0.95179999999999998</v>
      </c>
      <c r="E23" s="4">
        <f t="shared" si="2"/>
        <v>7.1527777777777773E-2</v>
      </c>
      <c r="F23" s="3">
        <f>VLOOKUP(A23,efficiency,5,0)</f>
        <v>0.89700000000000002</v>
      </c>
      <c r="G23" s="3">
        <v>0.02</v>
      </c>
    </row>
    <row r="24" spans="1:7" x14ac:dyDescent="0.25">
      <c r="A24" t="str">
        <f>'break '!A24</f>
        <v>Nitin Kumar (E023)</v>
      </c>
      <c r="B24" t="str">
        <f t="shared" si="3"/>
        <v xml:space="preserve">Nitin Kumar </v>
      </c>
      <c r="C24" s="4">
        <f t="shared" si="0"/>
        <v>0.32350694444444444</v>
      </c>
      <c r="D24" s="3">
        <f t="shared" si="1"/>
        <v>0.70920000000000005</v>
      </c>
      <c r="E24" s="4">
        <f t="shared" si="2"/>
        <v>6.5277777777777782E-2</v>
      </c>
      <c r="F24" s="3">
        <f>VLOOKUP(A24,efficiency,5,0)</f>
        <v>0.65400000000000003</v>
      </c>
      <c r="G24" s="3">
        <v>7.8E-2</v>
      </c>
    </row>
    <row r="25" spans="1:7" x14ac:dyDescent="0.25">
      <c r="A25" t="str">
        <f>'break '!A25</f>
        <v>Ayesha Khan (E024)</v>
      </c>
      <c r="B25" t="str">
        <f t="shared" si="3"/>
        <v xml:space="preserve">Ayesha Khan </v>
      </c>
      <c r="C25" s="4">
        <f t="shared" si="0"/>
        <v>0.3598263888888889</v>
      </c>
      <c r="D25" s="3">
        <f t="shared" si="1"/>
        <v>0.88939999999999997</v>
      </c>
      <c r="E25" s="4">
        <f t="shared" si="2"/>
        <v>8.4722222222222227E-2</v>
      </c>
      <c r="F25" s="3">
        <f>VLOOKUP(A25,efficiency,5,0)</f>
        <v>0.82799999999999996</v>
      </c>
      <c r="G25" s="3">
        <v>3.5999999999999997E-2</v>
      </c>
    </row>
    <row r="26" spans="1:7" x14ac:dyDescent="0.25">
      <c r="A26" t="str">
        <f>'break '!A26</f>
        <v>Rakesh Gupta (E025)</v>
      </c>
      <c r="B26" t="str">
        <f t="shared" si="3"/>
        <v xml:space="preserve">Rakesh Gupta </v>
      </c>
      <c r="C26" s="4">
        <f t="shared" si="0"/>
        <v>0.34060185185185188</v>
      </c>
      <c r="D26" s="3">
        <f t="shared" si="1"/>
        <v>0.81720000000000004</v>
      </c>
      <c r="E26" s="4">
        <f t="shared" si="2"/>
        <v>5.5555555555555552E-2</v>
      </c>
      <c r="F26" s="3">
        <f>VLOOKUP(A26,efficiency,5,0)</f>
        <v>0.75900000000000001</v>
      </c>
      <c r="G26" s="3">
        <v>5.2999999999999999E-2</v>
      </c>
    </row>
    <row r="27" spans="1:7" x14ac:dyDescent="0.25">
      <c r="A27" t="str">
        <f>'break '!A27</f>
        <v>Shivani Verma (E026)</v>
      </c>
      <c r="B27" t="str">
        <f t="shared" si="3"/>
        <v xml:space="preserve">Shivani Verma </v>
      </c>
      <c r="C27" s="4">
        <f t="shared" si="0"/>
        <v>0.36499999999999999</v>
      </c>
      <c r="D27" s="3">
        <f t="shared" si="1"/>
        <v>0.86580000000000001</v>
      </c>
      <c r="E27" s="4">
        <f t="shared" si="2"/>
        <v>7.4305555555555555E-2</v>
      </c>
      <c r="F27" s="3">
        <f>VLOOKUP(A27,efficiency,5,0)</f>
        <v>0.80500000000000005</v>
      </c>
      <c r="G27" s="3">
        <v>4.2999999999999997E-2</v>
      </c>
    </row>
    <row r="28" spans="1:7" x14ac:dyDescent="0.25">
      <c r="A28" t="str">
        <f>'break '!A28</f>
        <v>Gaurav Mehta (E027)</v>
      </c>
      <c r="B28" t="str">
        <f t="shared" si="3"/>
        <v xml:space="preserve">Gaurav Mehta </v>
      </c>
      <c r="C28" s="4">
        <f t="shared" si="0"/>
        <v>0.37658564814814816</v>
      </c>
      <c r="D28" s="3">
        <f t="shared" si="1"/>
        <v>0.9214</v>
      </c>
      <c r="E28" s="4">
        <f t="shared" si="2"/>
        <v>5.9027777777777776E-2</v>
      </c>
      <c r="F28" s="3">
        <f>VLOOKUP(A28,efficiency,5,0)</f>
        <v>0.86299999999999999</v>
      </c>
      <c r="G28" s="3">
        <v>2.8000000000000001E-2</v>
      </c>
    </row>
    <row r="29" spans="1:7" x14ac:dyDescent="0.25">
      <c r="A29" t="str">
        <f>'break '!A29</f>
        <v>Divya Sharma (E028)</v>
      </c>
      <c r="B29" t="str">
        <f t="shared" si="3"/>
        <v xml:space="preserve">Divya Sharma </v>
      </c>
      <c r="C29" s="4">
        <f t="shared" si="0"/>
        <v>0.32689814814814816</v>
      </c>
      <c r="D29" s="3">
        <f t="shared" si="1"/>
        <v>0.7268</v>
      </c>
      <c r="E29" s="4">
        <f t="shared" si="2"/>
        <v>8.819444444444445E-2</v>
      </c>
      <c r="F29" s="3">
        <f>VLOOKUP(A29,efficiency,5,0)</f>
        <v>0.67100000000000004</v>
      </c>
      <c r="G29" s="3">
        <v>7.0000000000000007E-2</v>
      </c>
    </row>
    <row r="30" spans="1:7" x14ac:dyDescent="0.25">
      <c r="A30" t="str">
        <f>'break '!A30</f>
        <v>Ankit Yadav (E029)</v>
      </c>
      <c r="B30" t="str">
        <f t="shared" si="3"/>
        <v xml:space="preserve">Ankit Yadav </v>
      </c>
      <c r="C30" s="4">
        <f t="shared" si="0"/>
        <v>0.35616898148148146</v>
      </c>
      <c r="D30" s="3">
        <f t="shared" si="1"/>
        <v>0.8921</v>
      </c>
      <c r="E30" s="4">
        <f t="shared" si="2"/>
        <v>6.458333333333334E-2</v>
      </c>
      <c r="F30" s="3">
        <f>VLOOKUP(A30,efficiency,5,0)</f>
        <v>0.83399999999999996</v>
      </c>
      <c r="G30" s="3">
        <v>3.4000000000000002E-2</v>
      </c>
    </row>
    <row r="31" spans="1:7" x14ac:dyDescent="0.25">
      <c r="A31" t="str">
        <f>'break '!A31</f>
        <v>Meena Kapoor (E030)</v>
      </c>
      <c r="B31" t="str">
        <f t="shared" si="3"/>
        <v xml:space="preserve">Meena Kapoor </v>
      </c>
      <c r="C31" s="4">
        <f t="shared" si="0"/>
        <v>0.34896990740740741</v>
      </c>
      <c r="D31" s="3">
        <f t="shared" si="1"/>
        <v>0.8347</v>
      </c>
      <c r="E31" s="4">
        <f t="shared" si="2"/>
        <v>6.3194444444444442E-2</v>
      </c>
      <c r="F31" s="3">
        <f>VLOOKUP(A31,efficiency,5,0)</f>
        <v>0.77300000000000002</v>
      </c>
      <c r="G31" s="3">
        <v>4.9000000000000002E-2</v>
      </c>
    </row>
    <row r="32" spans="1:7" x14ac:dyDescent="0.25">
      <c r="A32" t="str">
        <f>'break '!A32</f>
        <v>Sahil Jain (E031)</v>
      </c>
      <c r="B32" t="str">
        <f t="shared" si="3"/>
        <v xml:space="preserve">Sahil Jain </v>
      </c>
      <c r="C32" s="4">
        <f t="shared" si="0"/>
        <v>0.3808449074074074</v>
      </c>
      <c r="D32" s="3">
        <f t="shared" si="1"/>
        <v>0.96050000000000002</v>
      </c>
      <c r="E32" s="4">
        <f t="shared" si="2"/>
        <v>7.4999999999999997E-2</v>
      </c>
      <c r="F32" s="3">
        <f>VLOOKUP(A32,efficiency,5,0)</f>
        <v>0.90100000000000002</v>
      </c>
      <c r="G32" s="3">
        <v>1.9E-2</v>
      </c>
    </row>
    <row r="33" spans="1:7" x14ac:dyDescent="0.25">
      <c r="A33" t="str">
        <f>'break '!A33</f>
        <v>Preeti Gupta (E032)</v>
      </c>
      <c r="B33" t="str">
        <f t="shared" si="3"/>
        <v xml:space="preserve">Preeti Gupta </v>
      </c>
      <c r="C33" s="4">
        <f t="shared" si="0"/>
        <v>0.33736111111111111</v>
      </c>
      <c r="D33" s="3">
        <f t="shared" si="1"/>
        <v>0.76829999999999998</v>
      </c>
      <c r="E33" s="4">
        <f t="shared" si="2"/>
        <v>7.7083333333333337E-2</v>
      </c>
      <c r="F33" s="3">
        <f>VLOOKUP(A33,efficiency,5,0)</f>
        <v>0.70599999999999996</v>
      </c>
      <c r="G33" s="3">
        <v>6.4000000000000001E-2</v>
      </c>
    </row>
    <row r="34" spans="1:7" x14ac:dyDescent="0.25">
      <c r="A34" t="str">
        <f>'break '!A34</f>
        <v>Rajesh Kumar (E033)</v>
      </c>
      <c r="B34" t="str">
        <f t="shared" si="3"/>
        <v xml:space="preserve">Rajesh Kumar </v>
      </c>
      <c r="C34" s="4">
        <f t="shared" ref="C34:C50" si="4">VLOOKUP(A34,efficiency,2,0)</f>
        <v>0.3661921296296296</v>
      </c>
      <c r="D34" s="3">
        <f t="shared" ref="D34:D50" si="5">VLOOKUP(A34,efficiency,4,0)</f>
        <v>0.90620000000000001</v>
      </c>
      <c r="E34" s="4">
        <f t="shared" ref="E34:E50" si="6">VLOOKUP(A34,break,8,0)</f>
        <v>5.6250000000000001E-2</v>
      </c>
      <c r="F34" s="3">
        <f>VLOOKUP(A34,efficiency,5,0)</f>
        <v>0.84899999999999998</v>
      </c>
      <c r="G34" s="3">
        <v>3.1E-2</v>
      </c>
    </row>
    <row r="35" spans="1:7" x14ac:dyDescent="0.25">
      <c r="A35" t="str">
        <f>'break '!A35</f>
        <v>Tanya Singh (E034)</v>
      </c>
      <c r="B35" t="str">
        <f t="shared" si="3"/>
        <v xml:space="preserve">Tanya Singh </v>
      </c>
      <c r="C35" s="4">
        <f t="shared" si="4"/>
        <v>0.33025462962962965</v>
      </c>
      <c r="D35" s="3">
        <f t="shared" si="5"/>
        <v>0.69840000000000002</v>
      </c>
      <c r="E35" s="4">
        <f t="shared" si="6"/>
        <v>7.7083333333333337E-2</v>
      </c>
      <c r="F35" s="3">
        <f>VLOOKUP(A35,efficiency,5,0)</f>
        <v>0.64200000000000002</v>
      </c>
      <c r="G35" s="3">
        <v>7.5999999999999998E-2</v>
      </c>
    </row>
    <row r="36" spans="1:7" x14ac:dyDescent="0.25">
      <c r="A36" t="str">
        <f>'break '!A36</f>
        <v>Harsh Verma (E035)</v>
      </c>
      <c r="B36" t="str">
        <f t="shared" si="3"/>
        <v xml:space="preserve">Harsh Verma </v>
      </c>
      <c r="C36" s="4">
        <f t="shared" si="4"/>
        <v>0.37414351851851851</v>
      </c>
      <c r="D36" s="3">
        <f t="shared" si="5"/>
        <v>0.93420000000000003</v>
      </c>
      <c r="E36" s="4">
        <f t="shared" si="6"/>
        <v>9.2361111111111116E-2</v>
      </c>
      <c r="F36" s="3">
        <f>VLOOKUP(A36,efficiency,5,0)</f>
        <v>0.872</v>
      </c>
      <c r="G36" s="3">
        <v>2.5000000000000001E-2</v>
      </c>
    </row>
    <row r="37" spans="1:7" x14ac:dyDescent="0.25">
      <c r="A37" t="str">
        <f>'break '!A37</f>
        <v>Muskan Sharma (E036)</v>
      </c>
      <c r="B37" t="str">
        <f t="shared" si="3"/>
        <v xml:space="preserve">Muskan Sharma </v>
      </c>
      <c r="C37" s="4">
        <f t="shared" si="4"/>
        <v>0.35343750000000002</v>
      </c>
      <c r="D37" s="3">
        <f t="shared" si="5"/>
        <v>0.84160000000000001</v>
      </c>
      <c r="E37" s="4">
        <f t="shared" si="6"/>
        <v>5.486111111111111E-2</v>
      </c>
      <c r="F37" s="3">
        <f>VLOOKUP(A37,efficiency,5,0)</f>
        <v>0.78100000000000003</v>
      </c>
      <c r="G37" s="3">
        <v>4.7E-2</v>
      </c>
    </row>
    <row r="38" spans="1:7" x14ac:dyDescent="0.25">
      <c r="A38" t="str">
        <f>'break '!A38</f>
        <v>Ravi Yadav (E037)</v>
      </c>
      <c r="B38" t="str">
        <f t="shared" si="3"/>
        <v xml:space="preserve">Ravi Yadav </v>
      </c>
      <c r="C38" s="4">
        <f t="shared" si="4"/>
        <v>0.38567129629629632</v>
      </c>
      <c r="D38" s="3">
        <f t="shared" si="5"/>
        <v>0.97119999999999995</v>
      </c>
      <c r="E38" s="4">
        <f t="shared" si="6"/>
        <v>7.4305555555555555E-2</v>
      </c>
      <c r="F38" s="3">
        <f>VLOOKUP(A38,efficiency,5,0)</f>
        <v>0.91300000000000003</v>
      </c>
      <c r="G38" s="3">
        <v>1.4999999999999999E-2</v>
      </c>
    </row>
    <row r="39" spans="1:7" x14ac:dyDescent="0.25">
      <c r="A39" t="str">
        <f>'break '!A39</f>
        <v>Isha Gupta (E038)</v>
      </c>
      <c r="B39" t="str">
        <f t="shared" si="3"/>
        <v xml:space="preserve">Isha Gupta </v>
      </c>
      <c r="C39" s="4">
        <f t="shared" si="4"/>
        <v>0.32127314814814817</v>
      </c>
      <c r="D39" s="3">
        <f t="shared" si="5"/>
        <v>0.67949999999999999</v>
      </c>
      <c r="E39" s="4">
        <f t="shared" si="6"/>
        <v>7.4305555555555555E-2</v>
      </c>
      <c r="F39" s="3">
        <f>VLOOKUP(A39,efficiency,5,0)</f>
        <v>0.627</v>
      </c>
      <c r="G39" s="3">
        <v>8.4000000000000005E-2</v>
      </c>
    </row>
    <row r="40" spans="1:7" x14ac:dyDescent="0.25">
      <c r="A40" t="str">
        <f>'break '!A40</f>
        <v>Varun Sharma (E039)</v>
      </c>
      <c r="B40" t="str">
        <f t="shared" si="3"/>
        <v xml:space="preserve">Varun Sharma </v>
      </c>
      <c r="C40" s="4">
        <f t="shared" si="4"/>
        <v>0.35850694444444442</v>
      </c>
      <c r="D40" s="3">
        <f t="shared" si="5"/>
        <v>0.8831</v>
      </c>
      <c r="E40" s="4">
        <f t="shared" si="6"/>
        <v>5.6944444444444443E-2</v>
      </c>
      <c r="F40" s="3">
        <f>VLOOKUP(A40,efficiency,5,0)</f>
        <v>0.82</v>
      </c>
      <c r="G40" s="3">
        <v>3.7999999999999999E-2</v>
      </c>
    </row>
    <row r="41" spans="1:7" x14ac:dyDescent="0.25">
      <c r="A41" t="str">
        <f>'break '!A41</f>
        <v>Monika Singh (E040)</v>
      </c>
      <c r="B41" t="str">
        <f t="shared" si="3"/>
        <v xml:space="preserve">Monika Singh </v>
      </c>
      <c r="C41" s="4">
        <f t="shared" si="4"/>
        <v>0.3422337962962963</v>
      </c>
      <c r="D41" s="3">
        <f t="shared" si="5"/>
        <v>0.80730000000000002</v>
      </c>
      <c r="E41" s="4">
        <f t="shared" si="6"/>
        <v>8.611111111111111E-2</v>
      </c>
      <c r="F41" s="3">
        <f>VLOOKUP(A41,efficiency,5,0)</f>
        <v>0.745</v>
      </c>
      <c r="G41" s="3">
        <v>5.5E-2</v>
      </c>
    </row>
    <row r="42" spans="1:7" x14ac:dyDescent="0.25">
      <c r="A42" t="str">
        <f>'break '!A42</f>
        <v>Abhishek Kumar (E041)</v>
      </c>
      <c r="B42" t="str">
        <f t="shared" si="3"/>
        <v xml:space="preserve">Abhishek Kumar </v>
      </c>
      <c r="C42" s="4">
        <f t="shared" si="4"/>
        <v>0.36952546296296296</v>
      </c>
      <c r="D42" s="3">
        <f t="shared" si="5"/>
        <v>0.91479999999999995</v>
      </c>
      <c r="E42" s="4">
        <f t="shared" si="6"/>
        <v>6.5277777777777782E-2</v>
      </c>
      <c r="F42" s="3">
        <f>VLOOKUP(A42,efficiency,5,0)</f>
        <v>0.85699999999999998</v>
      </c>
      <c r="G42" s="3">
        <v>0.03</v>
      </c>
    </row>
    <row r="43" spans="1:7" x14ac:dyDescent="0.25">
      <c r="A43" t="str">
        <f>'break '!A43</f>
        <v>Shreya Mehta (E042)</v>
      </c>
      <c r="B43" t="str">
        <f t="shared" si="3"/>
        <v xml:space="preserve">Shreya Mehta </v>
      </c>
      <c r="C43" s="4">
        <f t="shared" si="4"/>
        <v>0.34613425925925928</v>
      </c>
      <c r="D43" s="3">
        <f t="shared" si="5"/>
        <v>0.82940000000000003</v>
      </c>
      <c r="E43" s="4">
        <f t="shared" si="6"/>
        <v>8.1250000000000003E-2</v>
      </c>
      <c r="F43" s="3">
        <f>VLOOKUP(A43,efficiency,5,0)</f>
        <v>0.76800000000000002</v>
      </c>
      <c r="G43" s="3">
        <v>0.05</v>
      </c>
    </row>
    <row r="44" spans="1:7" x14ac:dyDescent="0.25">
      <c r="A44" t="str">
        <f>'break '!A44</f>
        <v>Vivek Jain (E043)</v>
      </c>
      <c r="B44" t="str">
        <f t="shared" si="3"/>
        <v xml:space="preserve">Vivek Jain </v>
      </c>
      <c r="C44" s="4">
        <f t="shared" si="4"/>
        <v>0.37755787037037036</v>
      </c>
      <c r="D44" s="3">
        <f t="shared" si="5"/>
        <v>0.94669999999999999</v>
      </c>
      <c r="E44" s="4">
        <f t="shared" si="6"/>
        <v>5.4166666666666669E-2</v>
      </c>
      <c r="F44" s="3">
        <f>VLOOKUP(A44,efficiency,5,0)</f>
        <v>0.88900000000000001</v>
      </c>
      <c r="G44" s="3">
        <v>2.3E-2</v>
      </c>
    </row>
    <row r="45" spans="1:7" x14ac:dyDescent="0.25">
      <c r="A45" t="str">
        <f>'break '!A45</f>
        <v>Payal Verma (E044)</v>
      </c>
      <c r="B45" t="str">
        <f t="shared" si="3"/>
        <v xml:space="preserve">Payal Verma </v>
      </c>
      <c r="C45" s="4">
        <f t="shared" si="4"/>
        <v>0.33186342592592594</v>
      </c>
      <c r="D45" s="3">
        <f t="shared" si="5"/>
        <v>0.74360000000000004</v>
      </c>
      <c r="E45" s="4">
        <f t="shared" si="6"/>
        <v>7.9166666666666663E-2</v>
      </c>
      <c r="F45" s="3">
        <f>VLOOKUP(A45,efficiency,5,0)</f>
        <v>0.68899999999999995</v>
      </c>
      <c r="G45" s="3">
        <v>6.8000000000000005E-2</v>
      </c>
    </row>
    <row r="46" spans="1:7" x14ac:dyDescent="0.25">
      <c r="A46" t="str">
        <f>'break '!A46</f>
        <v>Sachin Gupta (E045)</v>
      </c>
      <c r="B46" t="str">
        <f t="shared" si="3"/>
        <v xml:space="preserve">Sachin Gupta </v>
      </c>
      <c r="C46" s="4">
        <f t="shared" si="4"/>
        <v>0.3621759259259259</v>
      </c>
      <c r="D46" s="3">
        <f t="shared" si="5"/>
        <v>0.87839999999999996</v>
      </c>
      <c r="E46" s="4">
        <f t="shared" si="6"/>
        <v>6.458333333333334E-2</v>
      </c>
      <c r="F46" s="3">
        <f>VLOOKUP(A46,efficiency,5,0)</f>
        <v>0.81599999999999995</v>
      </c>
      <c r="G46" s="3">
        <v>4.1000000000000002E-2</v>
      </c>
    </row>
    <row r="47" spans="1:7" x14ac:dyDescent="0.25">
      <c r="A47" t="str">
        <f>'break '!A47</f>
        <v>Neelam Sharma (E046)</v>
      </c>
      <c r="B47" t="str">
        <f t="shared" si="3"/>
        <v xml:space="preserve">Neelam Sharma </v>
      </c>
      <c r="C47" s="4">
        <f t="shared" si="4"/>
        <v>0.35159722222222223</v>
      </c>
      <c r="D47" s="3">
        <f t="shared" si="5"/>
        <v>0.84909999999999997</v>
      </c>
      <c r="E47" s="4">
        <f t="shared" si="6"/>
        <v>7.5694444444444439E-2</v>
      </c>
      <c r="F47" s="3">
        <f>VLOOKUP(A47,efficiency,5,0)</f>
        <v>0.78600000000000003</v>
      </c>
      <c r="G47" s="3">
        <v>4.8000000000000001E-2</v>
      </c>
    </row>
    <row r="48" spans="1:7" x14ac:dyDescent="0.25">
      <c r="A48" t="str">
        <f>'break '!A48</f>
        <v>Rohan Singh (E047)</v>
      </c>
      <c r="B48" t="str">
        <f t="shared" si="3"/>
        <v xml:space="preserve">Rohan Singh </v>
      </c>
      <c r="C48" s="4">
        <f t="shared" si="4"/>
        <v>0.38038194444444445</v>
      </c>
      <c r="D48" s="3">
        <f t="shared" si="5"/>
        <v>0.95320000000000005</v>
      </c>
      <c r="E48" s="4">
        <f t="shared" si="6"/>
        <v>7.9861111111111105E-2</v>
      </c>
      <c r="F48" s="3">
        <f>VLOOKUP(A48,efficiency,5,0)</f>
        <v>0.89400000000000002</v>
      </c>
      <c r="G48" s="3">
        <v>2.1000000000000001E-2</v>
      </c>
    </row>
    <row r="49" spans="1:7" x14ac:dyDescent="0.25">
      <c r="A49" t="str">
        <f>'break '!A49</f>
        <v>Jyoti Kumar (E048)</v>
      </c>
      <c r="B49" t="str">
        <f t="shared" si="3"/>
        <v xml:space="preserve">Jyoti Kumar </v>
      </c>
      <c r="C49" s="4">
        <f t="shared" si="4"/>
        <v>0.33572916666666669</v>
      </c>
      <c r="D49" s="3">
        <f t="shared" si="5"/>
        <v>0.77180000000000004</v>
      </c>
      <c r="E49" s="4">
        <f t="shared" si="6"/>
        <v>5.5555555555555552E-2</v>
      </c>
      <c r="F49" s="3">
        <f>VLOOKUP(A49,efficiency,5,0)</f>
        <v>0.71</v>
      </c>
      <c r="G49" s="3">
        <v>0.06</v>
      </c>
    </row>
    <row r="50" spans="1:7" x14ac:dyDescent="0.25">
      <c r="A50" t="str">
        <f>'break '!A50</f>
        <v>Ashish Yadav (E049)</v>
      </c>
      <c r="B50" t="str">
        <f t="shared" si="3"/>
        <v xml:space="preserve">Ashish Yadav </v>
      </c>
      <c r="C50" s="4">
        <f t="shared" si="4"/>
        <v>0.36798611111111112</v>
      </c>
      <c r="D50" s="3">
        <f t="shared" si="5"/>
        <v>0.90129999999999999</v>
      </c>
      <c r="E50" s="4">
        <f t="shared" si="6"/>
        <v>7.7083333333333337E-2</v>
      </c>
      <c r="F50" s="3">
        <f>VLOOKUP(A50,efficiency,5,0)</f>
        <v>0.84199999999999997</v>
      </c>
      <c r="G50" s="3">
        <v>3.3000000000000002E-2</v>
      </c>
    </row>
    <row r="51" spans="1:7" x14ac:dyDescent="0.25">
      <c r="G51" s="3">
        <v>4.2000000000000003E-2</v>
      </c>
    </row>
    <row r="52" spans="1:7" x14ac:dyDescent="0.25">
      <c r="G52" s="3">
        <v>2.5999999999999999E-2</v>
      </c>
    </row>
    <row r="53" spans="1:7" x14ac:dyDescent="0.25">
      <c r="G53" s="3">
        <v>5.2999999999999999E-2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AC70-658B-44FF-BC34-87CBAF3620AD}">
  <sheetPr codeName="Sheet1"/>
  <dimension ref="A1:L8"/>
  <sheetViews>
    <sheetView tabSelected="1" zoomScale="98" zoomScaleNormal="98" workbookViewId="0">
      <selection activeCell="K6" sqref="K6"/>
    </sheetView>
  </sheetViews>
  <sheetFormatPr defaultRowHeight="15" x14ac:dyDescent="0.25"/>
  <cols>
    <col min="1" max="1" width="13.85546875" bestFit="1" customWidth="1"/>
    <col min="2" max="2" width="31.7109375" customWidth="1"/>
    <col min="3" max="3" width="3" customWidth="1"/>
    <col min="4" max="4" width="13.140625" bestFit="1" customWidth="1"/>
    <col min="5" max="5" width="26.5703125" bestFit="1" customWidth="1"/>
    <col min="6" max="6" width="3.28515625" customWidth="1"/>
    <col min="7" max="7" width="13.140625" bestFit="1" customWidth="1"/>
    <col min="8" max="8" width="23.42578125" bestFit="1" customWidth="1"/>
    <col min="9" max="9" width="4.5703125" customWidth="1"/>
    <col min="10" max="10" width="13.140625" bestFit="1" customWidth="1"/>
    <col min="11" max="11" width="23.7109375" bestFit="1" customWidth="1"/>
    <col min="12" max="12" width="12.7109375" bestFit="1" customWidth="1"/>
  </cols>
  <sheetData>
    <row r="1" spans="1:12" s="8" customFormat="1" ht="25.5" customHeight="1" x14ac:dyDescent="0.25">
      <c r="D1" s="11"/>
      <c r="E1" s="12" t="s">
        <v>103</v>
      </c>
      <c r="F1" s="12"/>
      <c r="G1" s="11"/>
    </row>
    <row r="2" spans="1:12" s="8" customFormat="1" ht="18.75" x14ac:dyDescent="0.3">
      <c r="A2" s="10" t="s">
        <v>92</v>
      </c>
      <c r="B2" s="10"/>
      <c r="C2" s="9"/>
      <c r="D2" s="13" t="s">
        <v>105</v>
      </c>
      <c r="E2" s="13"/>
      <c r="F2" s="13"/>
      <c r="G2" s="13" t="s">
        <v>106</v>
      </c>
      <c r="H2" s="15" t="s">
        <v>108</v>
      </c>
      <c r="I2" s="15"/>
      <c r="J2" s="13" t="s">
        <v>111</v>
      </c>
      <c r="K2" s="16" t="s">
        <v>110</v>
      </c>
      <c r="L2" s="14"/>
    </row>
    <row r="3" spans="1:12" x14ac:dyDescent="0.25">
      <c r="A3" s="6" t="s">
        <v>86</v>
      </c>
      <c r="B3" t="s">
        <v>93</v>
      </c>
      <c r="D3" s="6" t="s">
        <v>86</v>
      </c>
      <c r="E3" t="s">
        <v>104</v>
      </c>
      <c r="G3" s="6" t="s">
        <v>86</v>
      </c>
      <c r="H3" t="s">
        <v>107</v>
      </c>
      <c r="J3" s="6" t="s">
        <v>86</v>
      </c>
      <c r="K3" t="s">
        <v>112</v>
      </c>
    </row>
    <row r="4" spans="1:12" x14ac:dyDescent="0.25">
      <c r="A4" s="7" t="s">
        <v>87</v>
      </c>
      <c r="B4" s="4">
        <v>0.38215277777777779</v>
      </c>
      <c r="C4" s="4"/>
      <c r="D4" s="7" t="s">
        <v>87</v>
      </c>
      <c r="E4" s="3">
        <v>0.90200000000000002</v>
      </c>
      <c r="F4" s="3"/>
      <c r="G4" s="7" t="s">
        <v>94</v>
      </c>
      <c r="H4" s="4">
        <v>8.4722222222222227E-2</v>
      </c>
      <c r="I4" s="4"/>
      <c r="J4" s="7" t="s">
        <v>97</v>
      </c>
      <c r="K4" s="3">
        <v>8.4000000000000005E-2</v>
      </c>
    </row>
    <row r="5" spans="1:12" x14ac:dyDescent="0.25">
      <c r="A5" s="7" t="s">
        <v>88</v>
      </c>
      <c r="B5" s="4">
        <v>0.38374999999999998</v>
      </c>
      <c r="C5" s="4"/>
      <c r="D5" s="7" t="s">
        <v>88</v>
      </c>
      <c r="E5" s="3">
        <v>0.89700000000000002</v>
      </c>
      <c r="F5" s="3"/>
      <c r="G5" s="7" t="s">
        <v>95</v>
      </c>
      <c r="H5" s="4">
        <v>8.819444444444445E-2</v>
      </c>
      <c r="I5" s="4"/>
      <c r="J5" s="7" t="s">
        <v>99</v>
      </c>
      <c r="K5" s="3">
        <v>7.8E-2</v>
      </c>
    </row>
    <row r="6" spans="1:12" x14ac:dyDescent="0.25">
      <c r="A6" s="7" t="s">
        <v>89</v>
      </c>
      <c r="B6" s="4">
        <v>0.38567129629629632</v>
      </c>
      <c r="C6" s="4"/>
      <c r="D6" s="7" t="s">
        <v>89</v>
      </c>
      <c r="E6" s="3">
        <v>0.91300000000000003</v>
      </c>
      <c r="F6" s="3"/>
      <c r="G6" s="7" t="s">
        <v>96</v>
      </c>
      <c r="H6" s="4">
        <v>9.2361111111111116E-2</v>
      </c>
      <c r="I6" s="4"/>
      <c r="J6" s="7" t="s">
        <v>101</v>
      </c>
      <c r="K6" s="3">
        <v>7.5999999999999998E-2</v>
      </c>
    </row>
    <row r="7" spans="1:12" x14ac:dyDescent="0.25">
      <c r="A7" s="7" t="s">
        <v>90</v>
      </c>
      <c r="B7" s="4">
        <v>0.38038194444444445</v>
      </c>
      <c r="C7" s="4"/>
      <c r="D7" s="7" t="s">
        <v>90</v>
      </c>
      <c r="E7" s="3">
        <v>0.89400000000000002</v>
      </c>
      <c r="F7" s="3"/>
      <c r="G7" s="7" t="s">
        <v>98</v>
      </c>
      <c r="H7" s="4">
        <v>8.611111111111111E-2</v>
      </c>
      <c r="I7" s="4"/>
      <c r="J7" s="7" t="s">
        <v>102</v>
      </c>
      <c r="K7" s="3">
        <v>8.2000000000000003E-2</v>
      </c>
    </row>
    <row r="8" spans="1:12" x14ac:dyDescent="0.25">
      <c r="A8" s="7" t="s">
        <v>91</v>
      </c>
      <c r="B8" s="4">
        <v>0.3808449074074074</v>
      </c>
      <c r="C8" s="4"/>
      <c r="D8" s="7" t="s">
        <v>91</v>
      </c>
      <c r="E8" s="3">
        <v>0.90100000000000002</v>
      </c>
      <c r="F8" s="3"/>
      <c r="G8" s="7" t="s">
        <v>100</v>
      </c>
      <c r="H8" s="4">
        <v>8.4722222222222227E-2</v>
      </c>
      <c r="I8" s="4"/>
      <c r="J8" s="7" t="s">
        <v>109</v>
      </c>
      <c r="K8" s="3">
        <v>0.121</v>
      </c>
    </row>
  </sheetData>
  <mergeCells count="1">
    <mergeCell ref="A2:B2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break </vt:lpstr>
      <vt:lpstr>efficiency </vt:lpstr>
      <vt:lpstr>overall performance </vt:lpstr>
      <vt:lpstr>summary </vt:lpstr>
      <vt:lpstr>dashboard </vt:lpstr>
      <vt:lpstr>break</vt:lpstr>
      <vt:lpstr>efficiency</vt:lpstr>
      <vt:lpstr>overall_performance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Chaturvedi</dc:creator>
  <cp:lastModifiedBy>Dev Chaturvedi</cp:lastModifiedBy>
  <dcterms:created xsi:type="dcterms:W3CDTF">2026-10-02T17:02:41Z</dcterms:created>
  <dcterms:modified xsi:type="dcterms:W3CDTF">2026-10-04T06:11:25Z</dcterms:modified>
</cp:coreProperties>
</file>